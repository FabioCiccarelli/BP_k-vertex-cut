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pivot_table_branching_nodes" sheetId="2" state="visible" r:id="rId4"/>
    <sheet name="pivot_table_gen_cols" sheetId="3" state="visible" r:id="rId5"/>
    <sheet name="pivot_table_times" sheetId="4" state="visible" r:id="rId6"/>
    <sheet name="perf_profiles" sheetId="5" state="visible" r:id="rId7"/>
    <sheet name="Sheet6" sheetId="6" state="visible" r:id="rId8"/>
  </sheets>
  <definedNames>
    <definedName function="false" hidden="true" localSheetId="0" name="_xlnm._FilterDatabase" vbProcedure="false">comparison!$A$4:$AJ$327</definedName>
    <definedName function="false" hidden="true" localSheetId="4" name="_xlnm._FilterDatabase" vbProcedure="false">perf_profiles!$A$1:$D$324</definedName>
    <definedName function="false" hidden="true" localSheetId="5" name="_xlnm._FilterDatabase" vbProcedure="false">Sheet6!$A$1:$M$324</definedName>
  </definedNames>
  <calcPr iterateCount="100" refMode="A1" iterate="false" iterateDelta="0.001"/>
  <pivotCaches>
    <pivotCache cacheId="1" r:id="rId10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<sst xmlns="http://schemas.openxmlformats.org/spreadsheetml/2006/main" count="3262" uniqueCount="188">
  <si>
    <t xml:space="preserve">TOTAL SOLVED</t>
  </si>
  <si>
    <t xml:space="preserve">time (from paper – tl 1h)</t>
  </si>
  <si>
    <t xml:space="preserve">Preproc</t>
  </si>
  <si>
    <t xml:space="preserve">OUR RESULTS</t>
  </si>
  <si>
    <t xml:space="preserve">COMPACT FORMULATION (SCIP)</t>
  </si>
  <si>
    <t xml:space="preserve">k value</t>
  </si>
  <si>
    <t xml:space="preserve">family</t>
  </si>
  <si>
    <t xml:space="preserve">inst_name</t>
  </si>
  <si>
    <t xml:space="preserve">n</t>
  </si>
  <si>
    <t xml:space="preserve">m</t>
  </si>
  <si>
    <t xml:space="preserve">alpha</t>
  </si>
  <si>
    <t xml:space="preserve">opt_val</t>
  </si>
  <si>
    <t xml:space="preserve">opt?</t>
  </si>
  <si>
    <t xml:space="preserve">COMP</t>
  </si>
  <si>
    <t xml:space="preserve">opt_comp?</t>
  </si>
  <si>
    <t xml:space="preserve">BP</t>
  </si>
  <si>
    <t xml:space="preserve">opt_bp?</t>
  </si>
  <si>
    <t xml:space="preserve">HYB</t>
  </si>
  <si>
    <t xml:space="preserve">opt_hyb?</t>
  </si>
  <si>
    <t xml:space="preserve">rem_vert</t>
  </si>
  <si>
    <t xml:space="preserve">ok inst?</t>
  </si>
  <si>
    <t xml:space="preserve">nnodes</t>
  </si>
  <si>
    <t xml:space="preserve">nedges</t>
  </si>
  <si>
    <t xml:space="preserve">status</t>
  </si>
  <si>
    <t xml:space="preserve">best_ub</t>
  </si>
  <si>
    <t xml:space="preserve">best_lb</t>
  </si>
  <si>
    <t xml:space="preserve">time</t>
  </si>
  <si>
    <t xml:space="preserve">time_pricing</t>
  </si>
  <si>
    <t xml:space="preserve">n_alpha</t>
  </si>
  <si>
    <t xml:space="preserve">n_branching_nodes</t>
  </si>
  <si>
    <t xml:space="preserve">n_orig_vars</t>
  </si>
  <si>
    <t xml:space="preserve">n_orig_constrs</t>
  </si>
  <si>
    <t xml:space="preserve">root_node_gen</t>
  </si>
  <si>
    <t xml:space="preserve">farkas_gen</t>
  </si>
  <si>
    <t xml:space="preserve">depth</t>
  </si>
  <si>
    <t xml:space="preserve">lb_root</t>
  </si>
  <si>
    <t xml:space="preserve">ub_root</t>
  </si>
  <si>
    <t xml:space="preserve">check</t>
  </si>
  <si>
    <t xml:space="preserve">integrality_gap</t>
  </si>
  <si>
    <t xml:space="preserve">name_ok?</t>
  </si>
  <si>
    <t xml:space="preserve">k</t>
  </si>
  <si>
    <t xml:space="preserve">time_limit</t>
  </si>
  <si>
    <t xml:space="preserve">nvertices</t>
  </si>
  <si>
    <t xml:space="preserve">dual_bound</t>
  </si>
  <si>
    <t xml:space="preserve">obj_fun</t>
  </si>
  <si>
    <t xml:space="preserve">opt_cut</t>
  </si>
  <si>
    <t xml:space="preserve">nvars</t>
  </si>
  <si>
    <t xml:space="preserve">ncons</t>
  </si>
  <si>
    <t xml:space="preserve">nnodes_tree</t>
  </si>
  <si>
    <t xml:space="preserve">Coloring</t>
  </si>
  <si>
    <t xml:space="preserve">1-FullIns_3</t>
  </si>
  <si>
    <t xml:space="preserve">Optimal</t>
  </si>
  <si>
    <t xml:space="preserve">1-FullIns_4</t>
  </si>
  <si>
    <t xml:space="preserve">tl</t>
  </si>
  <si>
    <t xml:space="preserve">TimeLimit</t>
  </si>
  <si>
    <t xml:space="preserve">1-Insertions_4</t>
  </si>
  <si>
    <t xml:space="preserve">2-FullIns_3</t>
  </si>
  <si>
    <t xml:space="preserve">2-Insertions_3</t>
  </si>
  <si>
    <t xml:space="preserve">2-Insertions_4</t>
  </si>
  <si>
    <t xml:space="preserve">3-FullIns_3</t>
  </si>
  <si>
    <t xml:space="preserve">3-Insertions_3</t>
  </si>
  <si>
    <t xml:space="preserve">4-FullIns_3</t>
  </si>
  <si>
    <t xml:space="preserve">4-Insertions_3</t>
  </si>
  <si>
    <t xml:space="preserve">5-FullIns_3</t>
  </si>
  <si>
    <t xml:space="preserve">Dimacs</t>
  </si>
  <si>
    <t xml:space="preserve">adjnoun</t>
  </si>
  <si>
    <t xml:space="preserve">anna</t>
  </si>
  <si>
    <t xml:space="preserve">Intersection</t>
  </si>
  <si>
    <t xml:space="preserve">arc130</t>
  </si>
  <si>
    <t xml:space="preserve">ash219</t>
  </si>
  <si>
    <t xml:space="preserve">ash331</t>
  </si>
  <si>
    <t xml:space="preserve">ash85</t>
  </si>
  <si>
    <t xml:space="preserve">bcspwr01</t>
  </si>
  <si>
    <t xml:space="preserve">bcspwr02</t>
  </si>
  <si>
    <t xml:space="preserve">bcspwr03</t>
  </si>
  <si>
    <t xml:space="preserve">bfw62a</t>
  </si>
  <si>
    <t xml:space="preserve">can__144</t>
  </si>
  <si>
    <t xml:space="preserve">-</t>
  </si>
  <si>
    <t xml:space="preserve">can61</t>
  </si>
  <si>
    <t xml:space="preserve">can62</t>
  </si>
  <si>
    <t xml:space="preserve">can73</t>
  </si>
  <si>
    <t xml:space="preserve">can96</t>
  </si>
  <si>
    <t xml:space="preserve">celegansneural</t>
  </si>
  <si>
    <t xml:space="preserve">chesapeake</t>
  </si>
  <si>
    <t xml:space="preserve">curtis54</t>
  </si>
  <si>
    <t xml:space="preserve">david</t>
  </si>
  <si>
    <t xml:space="preserve">.</t>
  </si>
  <si>
    <t xml:space="preserve">dolphins</t>
  </si>
  <si>
    <t xml:space="preserve">DSJC125.1</t>
  </si>
  <si>
    <t xml:space="preserve">DSJC125.5</t>
  </si>
  <si>
    <t xml:space="preserve">dwt___59</t>
  </si>
  <si>
    <t xml:space="preserve">dwt66</t>
  </si>
  <si>
    <t xml:space="preserve">dwt72</t>
  </si>
  <si>
    <t xml:space="preserve">dwt87</t>
  </si>
  <si>
    <t xml:space="preserve">football</t>
  </si>
  <si>
    <t xml:space="preserve">games120</t>
  </si>
  <si>
    <t xml:space="preserve">gre__115</t>
  </si>
  <si>
    <t xml:space="preserve">huck</t>
  </si>
  <si>
    <t xml:space="preserve">ibm32</t>
  </si>
  <si>
    <t xml:space="preserve">impcol_b</t>
  </si>
  <si>
    <t xml:space="preserve">jazz</t>
  </si>
  <si>
    <t xml:space="preserve">jean</t>
  </si>
  <si>
    <t xml:space="preserve">karate</t>
  </si>
  <si>
    <t xml:space="preserve">L100.cavity01</t>
  </si>
  <si>
    <t xml:space="preserve">L100.fidap025</t>
  </si>
  <si>
    <t xml:space="preserve">L100.fidapm02</t>
  </si>
  <si>
    <t xml:space="preserve">L100.rbs480a</t>
  </si>
  <si>
    <t xml:space="preserve">L100.steam2</t>
  </si>
  <si>
    <t xml:space="preserve">L100.wm1</t>
  </si>
  <si>
    <t xml:space="preserve">L100.wm2</t>
  </si>
  <si>
    <t xml:space="preserve">L100.wm3</t>
  </si>
  <si>
    <t xml:space="preserve">L120.cavity01</t>
  </si>
  <si>
    <t xml:space="preserve">L120.fidap022</t>
  </si>
  <si>
    <t xml:space="preserve">L120.fidap025</t>
  </si>
  <si>
    <t xml:space="preserve">L120.fidapm02</t>
  </si>
  <si>
    <t xml:space="preserve">L120.rbs480a</t>
  </si>
  <si>
    <t xml:space="preserve">L120.wm2</t>
  </si>
  <si>
    <t xml:space="preserve">L125.ash608</t>
  </si>
  <si>
    <t xml:space="preserve">L125.bcsstk05</t>
  </si>
  <si>
    <t xml:space="preserve">L125.can__161</t>
  </si>
  <si>
    <t xml:space="preserve">L125.can__187</t>
  </si>
  <si>
    <t xml:space="preserve">L125.dwt__162</t>
  </si>
  <si>
    <t xml:space="preserve">L125.dwt__193</t>
  </si>
  <si>
    <t xml:space="preserve">L125.fs_183_1</t>
  </si>
  <si>
    <t xml:space="preserve">L125.gre__185</t>
  </si>
  <si>
    <t xml:space="preserve">L125.lop163</t>
  </si>
  <si>
    <t xml:space="preserve">L125.west0167</t>
  </si>
  <si>
    <t xml:space="preserve">L125.will199</t>
  </si>
  <si>
    <t xml:space="preserve">L80.cavity01</t>
  </si>
  <si>
    <t xml:space="preserve">L80.fidap025</t>
  </si>
  <si>
    <t xml:space="preserve">L80.steam2</t>
  </si>
  <si>
    <t xml:space="preserve">L80.wm1</t>
  </si>
  <si>
    <t xml:space="preserve">L80.wm2</t>
  </si>
  <si>
    <t xml:space="preserve">L80.wm3</t>
  </si>
  <si>
    <t xml:space="preserve">lesmis</t>
  </si>
  <si>
    <t xml:space="preserve">lund_a</t>
  </si>
  <si>
    <t xml:space="preserve">miles1000</t>
  </si>
  <si>
    <t xml:space="preserve">miles1500</t>
  </si>
  <si>
    <t xml:space="preserve">miles250</t>
  </si>
  <si>
    <t xml:space="preserve">miles500</t>
  </si>
  <si>
    <t xml:space="preserve">miles750</t>
  </si>
  <si>
    <t xml:space="preserve">mug100_1</t>
  </si>
  <si>
    <t xml:space="preserve">mug100_25</t>
  </si>
  <si>
    <t xml:space="preserve">mug88_1</t>
  </si>
  <si>
    <t xml:space="preserve">mug88_25</t>
  </si>
  <si>
    <t xml:space="preserve">mulsol.i.2</t>
  </si>
  <si>
    <t xml:space="preserve">mulsol.i.3</t>
  </si>
  <si>
    <t xml:space="preserve">mulsol.i.4</t>
  </si>
  <si>
    <t xml:space="preserve">mulsol.i.5</t>
  </si>
  <si>
    <t xml:space="preserve">myciel3</t>
  </si>
  <si>
    <t xml:space="preserve">myciel4</t>
  </si>
  <si>
    <t xml:space="preserve">myciel5</t>
  </si>
  <si>
    <t xml:space="preserve">myciel6</t>
  </si>
  <si>
    <t xml:space="preserve">myciel7</t>
  </si>
  <si>
    <t xml:space="preserve">polbooks</t>
  </si>
  <si>
    <t xml:space="preserve">pores_1</t>
  </si>
  <si>
    <t xml:space="preserve">queen10_10</t>
  </si>
  <si>
    <t xml:space="preserve">queen11_11</t>
  </si>
  <si>
    <t xml:space="preserve">queen12_12</t>
  </si>
  <si>
    <t xml:space="preserve">queen13_13</t>
  </si>
  <si>
    <t xml:space="preserve">queen14_14</t>
  </si>
  <si>
    <t xml:space="preserve">queen5_5</t>
  </si>
  <si>
    <t xml:space="preserve">queen6_6</t>
  </si>
  <si>
    <t xml:space="preserve">queen7_7</t>
  </si>
  <si>
    <t xml:space="preserve">queen8_12</t>
  </si>
  <si>
    <t xml:space="preserve">queen8_8</t>
  </si>
  <si>
    <t xml:space="preserve">queen9_9</t>
  </si>
  <si>
    <t xml:space="preserve">r125.1</t>
  </si>
  <si>
    <t xml:space="preserve">r125.1c</t>
  </si>
  <si>
    <t xml:space="preserve">r125.5</t>
  </si>
  <si>
    <t xml:space="preserve">rw136</t>
  </si>
  <si>
    <t xml:space="preserve">steam3</t>
  </si>
  <si>
    <t xml:space="preserve">west0067</t>
  </si>
  <si>
    <t xml:space="preserve">west0132</t>
  </si>
  <si>
    <t xml:space="preserve">will57</t>
  </si>
  <si>
    <t xml:space="preserve">NA</t>
  </si>
  <si>
    <t xml:space="preserve">opt?2</t>
  </si>
  <si>
    <t xml:space="preserve">1</t>
  </si>
  <si>
    <t xml:space="preserve">Data</t>
  </si>
  <si>
    <t xml:space="preserve">Count - inst_name</t>
  </si>
  <si>
    <t xml:space="preserve">Min - n_branching_nodes</t>
  </si>
  <si>
    <t xml:space="preserve">Min - depth</t>
  </si>
  <si>
    <t xml:space="preserve">Total Result</t>
  </si>
  <si>
    <t xml:space="preserve">Min - n_alpha</t>
  </si>
  <si>
    <t xml:space="preserve">Min - root_node_gen</t>
  </si>
  <si>
    <t xml:space="preserve">Min - time</t>
  </si>
  <si>
    <t xml:space="preserve">Min - time_pricing</t>
  </si>
  <si>
    <t xml:space="preserve">OUR_BP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</si>
</sst>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General"/>
    <numFmt numFmtId="167" formatCode="0.00E+00"/>
    <numFmt numFmtId="168" formatCode="@"/>
    <numFmt numFmtId="169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81D41A"/>
        <bgColor rgb="FFACB20C"/>
      </patternFill>
    </fill>
    <fill>
      <patternFill patternType="solid">
        <fgColor rgb="FFB47804"/>
        <bgColor rgb="FFACB20C"/>
      </patternFill>
    </fill>
    <fill>
      <patternFill patternType="solid">
        <fgColor rgb="FFA1467E"/>
        <bgColor rgb="FF993366"/>
      </patternFill>
    </fill>
    <fill>
      <patternFill patternType="solid">
        <fgColor rgb="FFACB20C"/>
        <bgColor rgb="FF81D41A"/>
      </patternFill>
    </fill>
    <fill>
      <patternFill patternType="solid">
        <fgColor rgb="FF8E86AE"/>
        <bgColor rgb="FF808080"/>
      </patternFill>
    </fill>
    <fill>
      <patternFill patternType="solid">
        <fgColor rgb="FFFFB66C"/>
        <bgColor rgb="FFFF99CC"/>
      </patternFill>
    </fill>
    <fill>
      <patternFill patternType="solid">
        <fgColor rgb="FFFF4000"/>
        <bgColor rgb="FFFF000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8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6">
    <dxf>
      <fill>
        <patternFill patternType="solid">
          <fgColor rgb="FFFF4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1467E"/>
          <bgColor rgb="FF000000"/>
        </patternFill>
      </fill>
    </dxf>
    <dxf>
      <fill>
        <patternFill patternType="solid">
          <fgColor rgb="FFACB20C"/>
          <bgColor rgb="FF000000"/>
        </patternFill>
      </fill>
    </dxf>
    <dxf>
      <fill>
        <patternFill patternType="solid">
          <fgColor rgb="FF8E86AE"/>
          <bgColor rgb="FF000000"/>
        </patternFill>
      </fill>
    </dxf>
    <dxf>
      <fill>
        <patternFill patternType="solid">
          <fgColor rgb="FFFFB66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7804"/>
      <rgbColor rgb="FF800080"/>
      <rgbColor rgb="FF008080"/>
      <rgbColor rgb="FFC0C0C0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81D41A"/>
      <rgbColor rgb="FFFFCC00"/>
      <rgbColor rgb="FFACB20C"/>
      <rgbColor rgb="FFFF40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23" createdVersion="3">
  <cacheSource type="worksheet">
    <worksheetSource ref="A4:AJ327" sheet="comparison"/>
  </cacheSource>
  <cacheFields count="36">
    <cacheField name="k value" numFmtId="0">
      <sharedItems containsSemiMixedTypes="0" containsString="0" containsNumber="1" containsInteger="1" minValue="5" maxValue="20" count="4">
        <n v="5"/>
        <n v="10"/>
        <n v="15"/>
        <n v="20"/>
      </sharedItems>
    </cacheField>
    <cacheField name="family" numFmtId="0">
      <sharedItems count="3">
        <s v="Coloring"/>
        <s v="Dimacs"/>
        <s v="Intersection"/>
      </sharedItems>
    </cacheField>
    <cacheField name="inst_name" numFmtId="0">
      <sharedItems count="118">
        <s v="1-FullIns_3"/>
        <s v="1-FullIns_4"/>
        <s v="1-Insertions_4"/>
        <s v="2-FullIns_3"/>
        <s v="2-Insertions_3"/>
        <s v="2-Insertions_4"/>
        <s v="3-FullIns_3"/>
        <s v="3-Insertions_3"/>
        <s v="4-FullIns_3"/>
        <s v="4-Insertions_3"/>
        <s v="5-FullIns_3"/>
        <s v="adjnoun"/>
        <s v="anna"/>
        <s v="arc130"/>
        <s v="ash219"/>
        <s v="ash331"/>
        <s v="ash85"/>
        <s v="bcspwr01"/>
        <s v="bcspwr02"/>
        <s v="bcspwr03"/>
        <s v="bfw62a"/>
        <s v="can__144"/>
        <s v="can61"/>
        <s v="can62"/>
        <s v="can73"/>
        <s v="can96"/>
        <s v="celegansneural"/>
        <s v="chesapeake"/>
        <s v="curtis54"/>
        <s v="david"/>
        <s v="dolphins"/>
        <s v="DSJC125.1"/>
        <s v="DSJC125.5"/>
        <s v="dwt___59"/>
        <s v="dwt66"/>
        <s v="dwt72"/>
        <s v="dwt87"/>
        <s v="football"/>
        <s v="games120"/>
        <s v="gre__115"/>
        <s v="huck"/>
        <s v="ibm32"/>
        <s v="impcol_b"/>
        <s v="jazz"/>
        <s v="jean"/>
        <s v="karate"/>
        <s v="L100.cavity01"/>
        <s v="L100.fidap025"/>
        <s v="L100.fidapm02"/>
        <s v="L100.rbs480a"/>
        <s v="L100.steam2"/>
        <s v="L100.wm1"/>
        <s v="L100.wm2"/>
        <s v="L100.wm3"/>
        <s v="L120.cavity01"/>
        <s v="L120.fidap022"/>
        <s v="L120.fidap025"/>
        <s v="L120.fidapm02"/>
        <s v="L120.rbs480a"/>
        <s v="L120.wm2"/>
        <s v="L125.ash608"/>
        <s v="L125.bcsstk05"/>
        <s v="L125.can__161"/>
        <s v="L125.can__187"/>
        <s v="L125.dwt__162"/>
        <s v="L125.dwt__193"/>
        <s v="L125.fs_183_1"/>
        <s v="L125.gre__185"/>
        <s v="L125.lop163"/>
        <s v="L125.west0167"/>
        <s v="L125.will199"/>
        <s v="L80.cavity01"/>
        <s v="L80.fidap025"/>
        <s v="L80.steam2"/>
        <s v="L80.wm1"/>
        <s v="L80.wm2"/>
        <s v="L80.wm3"/>
        <s v="lesmis"/>
        <s v="lund_a"/>
        <s v="miles1000"/>
        <s v="miles1500"/>
        <s v="miles250"/>
        <s v="miles500"/>
        <s v="miles750"/>
        <s v="mug100_1"/>
        <s v="mug100_25"/>
        <s v="mug88_1"/>
        <s v="mug88_25"/>
        <s v="mulsol.i.2"/>
        <s v="mulsol.i.3"/>
        <s v="mulsol.i.4"/>
        <s v="mulsol.i.5"/>
        <s v="myciel3"/>
        <s v="myciel4"/>
        <s v="myciel5"/>
        <s v="myciel6"/>
        <s v="myciel7"/>
        <s v="polbooks"/>
        <s v="pores_1"/>
        <s v="queen10_10"/>
        <s v="queen11_11"/>
        <s v="queen12_12"/>
        <s v="queen13_13"/>
        <s v="queen14_14"/>
        <s v="queen5_5"/>
        <s v="queen6_6"/>
        <s v="queen7_7"/>
        <s v="queen8_12"/>
        <s v="queen8_8"/>
        <s v="queen9_9"/>
        <s v="r125.1"/>
        <s v="r125.1c"/>
        <s v="r125.5"/>
        <s v="rw136"/>
        <s v="steam3"/>
        <s v="west0067"/>
        <s v="west0132"/>
        <s v="will57"/>
      </sharedItems>
    </cacheField>
    <cacheField name="n" numFmtId="0">
      <sharedItems containsSemiMixedTypes="0" containsString="0" containsNumber="1" containsInteger="1" minValue="11" maxValue="297" count="62">
        <n v="11"/>
        <n v="23"/>
        <n v="25"/>
        <n v="30"/>
        <n v="32"/>
        <n v="34"/>
        <n v="36"/>
        <n v="37"/>
        <n v="39"/>
        <n v="47"/>
        <n v="49"/>
        <n v="52"/>
        <n v="54"/>
        <n v="56"/>
        <n v="57"/>
        <n v="59"/>
        <n v="61"/>
        <n v="62"/>
        <n v="64"/>
        <n v="66"/>
        <n v="67"/>
        <n v="72"/>
        <n v="73"/>
        <n v="74"/>
        <n v="77"/>
        <n v="79"/>
        <n v="80"/>
        <n v="81"/>
        <n v="85"/>
        <n v="87"/>
        <n v="88"/>
        <n v="93"/>
        <n v="95"/>
        <n v="96"/>
        <n v="100"/>
        <n v="104"/>
        <n v="105"/>
        <n v="112"/>
        <n v="114"/>
        <n v="115"/>
        <n v="118"/>
        <n v="120"/>
        <n v="121"/>
        <n v="125"/>
        <n v="128"/>
        <n v="130"/>
        <n v="132"/>
        <n v="136"/>
        <n v="138"/>
        <n v="144"/>
        <n v="147"/>
        <n v="149"/>
        <n v="154"/>
        <n v="169"/>
        <n v="184"/>
        <n v="185"/>
        <n v="186"/>
        <n v="188"/>
        <n v="191"/>
        <n v="196"/>
        <n v="198"/>
        <n v="297"/>
      </sharedItems>
    </cacheField>
    <cacheField name="m" numFmtId="0">
      <sharedItems containsSemiMixedTypes="0" containsString="0" containsNumber="1" containsInteger="1" minValue="20" maxValue="7763" count="110">
        <n v="20"/>
        <n v="71"/>
        <n v="72"/>
        <n v="78"/>
        <n v="100"/>
        <n v="110"/>
        <n v="118"/>
        <n v="146"/>
        <n v="156"/>
        <n v="159"/>
        <n v="160"/>
        <n v="166"/>
        <n v="170"/>
        <n v="177"/>
        <n v="179"/>
        <n v="201"/>
        <n v="209"/>
        <n v="210"/>
        <n v="219"/>
        <n v="232"/>
        <n v="236"/>
        <n v="254"/>
        <n v="255"/>
        <n v="256"/>
        <n v="290"/>
        <n v="301"/>
        <n v="304"/>
        <n v="329"/>
        <n v="331"/>
        <n v="337"/>
        <n v="346"/>
        <n v="386"/>
        <n v="387"/>
        <n v="390"/>
        <n v="406"/>
        <n v="411"/>
        <n v="425"/>
        <n v="441"/>
        <n v="444"/>
        <n v="476"/>
        <n v="493"/>
        <n v="541"/>
        <n v="560"/>
        <n v="576"/>
        <n v="593"/>
        <n v="613"/>
        <n v="616"/>
        <n v="638"/>
        <n v="639"/>
        <n v="641"/>
        <n v="652"/>
        <n v="712"/>
        <n v="726"/>
        <n v="728"/>
        <n v="736"/>
        <n v="755"/>
        <n v="792"/>
        <n v="866"/>
        <n v="912"/>
        <n v="943"/>
        <n v="1022"/>
        <n v="1056"/>
        <n v="1170"/>
        <n v="1177"/>
        <n v="1201"/>
        <n v="1218"/>
        <n v="1257"/>
        <n v="1272"/>
        <n v="1368"/>
        <n v="1470"/>
        <n v="1656"/>
        <n v="1739"/>
        <n v="1766"/>
        <n v="1786"/>
        <n v="1844"/>
        <n v="1848"/>
        <n v="1980"/>
        <n v="2031"/>
        <n v="2113"/>
        <n v="2148"/>
        <n v="2360"/>
        <n v="2550"/>
        <n v="2596"/>
        <n v="2701"/>
        <n v="2742"/>
        <n v="2787"/>
        <n v="2837"/>
        <n v="2934"/>
        <n v="2956"/>
        <n v="2972"/>
        <n v="2982"/>
        <n v="3039"/>
        <n v="3090"/>
        <n v="3216"/>
        <n v="3273"/>
        <n v="3328"/>
        <n v="3387"/>
        <n v="3392"/>
        <n v="3838"/>
        <n v="3885"/>
        <n v="3891"/>
        <n v="3916"/>
        <n v="3946"/>
        <n v="3973"/>
        <n v="4186"/>
        <n v="4307"/>
        <n v="4626"/>
        <n v="5198"/>
        <n v="7501"/>
        <n v="7763"/>
      </sharedItems>
    </cacheField>
    <cacheField name="alpha" numFmtId="0">
      <sharedItems containsSemiMixedTypes="0" containsString="0" containsNumber="1" containsInteger="1" minValue="5" maxValue="110" count="50"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3"/>
        <n v="44"/>
        <n v="45"/>
        <n v="47"/>
        <n v="49"/>
        <n v="53"/>
        <n v="55"/>
        <n v="72"/>
        <n v="74"/>
        <n v="80"/>
        <n v="86"/>
        <n v="88"/>
        <n v="90"/>
        <n v="95"/>
        <n v="110"/>
      </sharedItems>
    </cacheField>
    <cacheField name="opt_val" numFmtId="0">
      <sharedItems containsMixedTypes="1" containsNumber="1" containsInteger="1" minValue="1" maxValue="116" count="5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1"/>
        <n v="32"/>
        <n v="34"/>
        <n v="35"/>
        <n v="36"/>
        <n v="38"/>
        <n v="39"/>
        <n v="41"/>
        <n v="46"/>
        <n v="48"/>
        <n v="49"/>
        <n v="53"/>
        <n v="54"/>
        <n v="56"/>
        <n v="59"/>
        <n v="66"/>
        <n v="67"/>
        <n v="71"/>
        <n v="75"/>
        <n v="76"/>
        <n v="80"/>
        <n v="83"/>
        <n v="87"/>
        <n v="90"/>
        <n v="91"/>
        <n v="102"/>
        <n v="115"/>
        <n v="116"/>
        <s v="-"/>
        <s v="."/>
      </sharedItems>
    </cacheField>
    <cacheField name="opt?" numFmtId="0">
      <sharedItems containsSemiMixedTypes="0" containsString="0" containsNumber="1" containsInteger="1" minValue="0" maxValue="1" count="2">
        <n v="0"/>
        <n v="1"/>
      </sharedItems>
    </cacheField>
    <cacheField name="COMP" numFmtId="0">
      <sharedItems containsMixedTypes="1" containsNumber="1" minValue="0.01" maxValue="3244.87" count="159">
        <n v="0.01"/>
        <n v="0.03"/>
        <n v="0.04"/>
        <n v="0.05"/>
        <n v="0.06"/>
        <n v="0.08"/>
        <n v="0.1"/>
        <n v="0.11"/>
        <n v="0.12"/>
        <n v="0.14"/>
        <n v="0.15"/>
        <n v="0.16"/>
        <n v="0.2"/>
        <n v="0.21"/>
        <n v="0.22"/>
        <n v="0.24"/>
        <n v="0.26"/>
        <n v="0.27"/>
        <n v="0.29"/>
        <n v="0.31"/>
        <n v="0.34"/>
        <n v="0.35"/>
        <n v="0.36"/>
        <n v="0.38"/>
        <n v="0.39"/>
        <n v="0.44"/>
        <n v="0.45"/>
        <n v="0.5"/>
        <n v="0.51"/>
        <n v="0.53"/>
        <n v="0.54"/>
        <n v="0.57"/>
        <n v="0.58"/>
        <n v="0.6"/>
        <n v="0.66"/>
        <n v="0.67"/>
        <n v="0.69"/>
        <n v="0.73"/>
        <n v="0.82"/>
        <n v="0.86"/>
        <n v="0.93"/>
        <n v="0.97"/>
        <n v="1.03"/>
        <n v="1.04"/>
        <n v="1.06"/>
        <n v="1.12"/>
        <n v="1.35"/>
        <n v="1.38"/>
        <n v="1.55"/>
        <n v="2.1"/>
        <n v="2.23"/>
        <n v="2.33"/>
        <n v="2.75"/>
        <n v="2.88"/>
        <n v="3.27"/>
        <n v="3.74"/>
        <n v="3.8"/>
        <n v="3.96"/>
        <n v="4.17"/>
        <n v="4.55"/>
        <n v="4.56"/>
        <n v="4.81"/>
        <n v="5.22"/>
        <n v="5.31"/>
        <n v="5.48"/>
        <n v="5.7"/>
        <n v="5.78"/>
        <n v="5.96"/>
        <n v="6.47"/>
        <n v="6.56"/>
        <n v="6.59"/>
        <n v="6.74"/>
        <n v="6.8"/>
        <n v="7.43"/>
        <n v="7.49"/>
        <n v="7.6"/>
        <n v="8.22"/>
        <n v="8.91"/>
        <n v="9.5"/>
        <n v="9.6"/>
        <n v="9.67"/>
        <n v="9.89"/>
        <n v="11.61"/>
        <n v="12.04"/>
        <n v="12.28"/>
        <n v="16.08"/>
        <n v="16.36"/>
        <n v="16.74"/>
        <n v="16.82"/>
        <n v="17.02"/>
        <n v="19.99"/>
        <n v="24.78"/>
        <n v="25.32"/>
        <n v="25.63"/>
        <n v="29.73"/>
        <n v="32.79"/>
        <n v="36.61"/>
        <n v="38.97"/>
        <n v="43.87"/>
        <n v="44.31"/>
        <n v="48.53"/>
        <n v="51.14"/>
        <n v="57.19"/>
        <n v="59.4"/>
        <n v="60.07"/>
        <n v="62.2"/>
        <n v="78.21"/>
        <n v="82.85"/>
        <n v="88.06"/>
        <n v="88.12"/>
        <n v="116"/>
        <n v="144.6"/>
        <n v="157.57"/>
        <n v="159.35"/>
        <n v="160.08"/>
        <n v="165.39"/>
        <n v="175.02"/>
        <n v="176.49"/>
        <n v="186.29"/>
        <n v="186.83"/>
        <n v="190.01"/>
        <n v="197.86"/>
        <n v="203.76"/>
        <n v="217.61"/>
        <n v="219.87"/>
        <n v="222.53"/>
        <n v="230.54"/>
        <n v="247.02"/>
        <n v="269.56"/>
        <n v="290.48"/>
        <n v="311.26"/>
        <n v="334.47"/>
        <n v="359.62"/>
        <n v="364.18"/>
        <n v="382.63"/>
        <n v="397.28"/>
        <n v="411.59"/>
        <n v="485.65"/>
        <n v="559.76"/>
        <n v="560.95"/>
        <n v="566.29"/>
        <n v="594.89"/>
        <n v="625.69"/>
        <n v="732.31"/>
        <n v="753.15"/>
        <n v="843.17"/>
        <n v="854.49"/>
        <n v="940.63"/>
        <n v="966.14"/>
        <n v="998.31"/>
        <n v="1271.68"/>
        <n v="1307.71"/>
        <n v="1329.02"/>
        <n v="1817.51"/>
        <n v="2717.2"/>
        <n v="3078.7"/>
        <n v="3244.87"/>
        <s v="."/>
        <s v="tl"/>
      </sharedItems>
    </cacheField>
    <cacheField name="opt_comp?" numFmtId="0">
      <sharedItems containsSemiMixedTypes="0" containsString="0" containsNumber="1" containsInteger="1" minValue="0" maxValue="1" count="2">
        <n v="0"/>
        <n v="1"/>
      </sharedItems>
    </cacheField>
    <cacheField name="BP" numFmtId="0">
      <sharedItems containsMixedTypes="1" containsNumber="1" minValue="0.01" maxValue="3139.1" count="167">
        <n v="0.01"/>
        <n v="0.05"/>
        <n v="0.06"/>
        <n v="0.07"/>
        <n v="0.08"/>
        <n v="0.09"/>
        <n v="0.11"/>
        <n v="0.15"/>
        <n v="0.17"/>
        <n v="0.18"/>
        <n v="0.19"/>
        <n v="0.23"/>
        <n v="0.27"/>
        <n v="0.35"/>
        <n v="0.39"/>
        <n v="0.41"/>
        <n v="0.58"/>
        <n v="0.62"/>
        <n v="0.65"/>
        <n v="0.66"/>
        <n v="0.67"/>
        <n v="0.79"/>
        <n v="0.91"/>
        <n v="1.07"/>
        <n v="1.58"/>
        <n v="1.85"/>
        <n v="1.88"/>
        <n v="1.89"/>
        <n v="1.9"/>
        <n v="2.14"/>
        <n v="2.25"/>
        <n v="2.41"/>
        <n v="2.64"/>
        <n v="2.77"/>
        <n v="2.78"/>
        <n v="2.89"/>
        <n v="3.62"/>
        <n v="3.72"/>
        <n v="3.89"/>
        <n v="4.4"/>
        <n v="4.68"/>
        <n v="5.03"/>
        <n v="5.17"/>
        <n v="5.7"/>
        <n v="5.76"/>
        <n v="7.15"/>
        <n v="8.53"/>
        <n v="9.39"/>
        <n v="9.95"/>
        <n v="10.64"/>
        <n v="11.53"/>
        <n v="11.62"/>
        <n v="13.35"/>
        <n v="13.91"/>
        <n v="14.19"/>
        <n v="15.57"/>
        <n v="15.62"/>
        <n v="17.87"/>
        <n v="18.71"/>
        <n v="18.83"/>
        <n v="20.11"/>
        <n v="20.38"/>
        <n v="21.25"/>
        <n v="21.97"/>
        <n v="22.14"/>
        <n v="22.23"/>
        <n v="22.24"/>
        <n v="22.56"/>
        <n v="22.89"/>
        <n v="23.2"/>
        <n v="23.51"/>
        <n v="23.8"/>
        <n v="23.85"/>
        <n v="23.88"/>
        <n v="23.9"/>
        <n v="24.35"/>
        <n v="24.64"/>
        <n v="24.67"/>
        <n v="24.88"/>
        <n v="24.89"/>
        <n v="25.13"/>
        <n v="25.25"/>
        <n v="26.01"/>
        <n v="26.44"/>
        <n v="26.46"/>
        <n v="26.63"/>
        <n v="26.81"/>
        <n v="27.29"/>
        <n v="27.56"/>
        <n v="27.61"/>
        <n v="27.89"/>
        <n v="28.15"/>
        <n v="28.3"/>
        <n v="28.33"/>
        <n v="28.67"/>
        <n v="29.07"/>
        <n v="29.29"/>
        <n v="29.64"/>
        <n v="30.37"/>
        <n v="30.66"/>
        <n v="30.7"/>
        <n v="31.14"/>
        <n v="32.9"/>
        <n v="33.55"/>
        <n v="34.23"/>
        <n v="34.25"/>
        <n v="34.33"/>
        <n v="34.5"/>
        <n v="34.71"/>
        <n v="35.09"/>
        <n v="35.26"/>
        <n v="35.53"/>
        <n v="35.81"/>
        <n v="36.08"/>
        <n v="36.35"/>
        <n v="37.21"/>
        <n v="37.53"/>
        <n v="38.09"/>
        <n v="38.72"/>
        <n v="39.01"/>
        <n v="39.58"/>
        <n v="39.62"/>
        <n v="40"/>
        <n v="41.12"/>
        <n v="42.6"/>
        <n v="43.36"/>
        <n v="44.96"/>
        <n v="47"/>
        <n v="48.54"/>
        <n v="50.71"/>
        <n v="51.79"/>
        <n v="53.86"/>
        <n v="55.01"/>
        <n v="56.18"/>
        <n v="57.32"/>
        <n v="60.09"/>
        <n v="66.46"/>
        <n v="67.08"/>
        <n v="70.38"/>
        <n v="78.22"/>
        <n v="82.9"/>
        <n v="90.83"/>
        <n v="163.4"/>
        <n v="169.35"/>
        <n v="174.89"/>
        <n v="180.84"/>
        <n v="230.01"/>
        <n v="230.46"/>
        <n v="263.85"/>
        <n v="335.74"/>
        <n v="388.26"/>
        <n v="435.94"/>
        <n v="436.94"/>
        <n v="474.05"/>
        <n v="534.41"/>
        <n v="579.2"/>
        <n v="688.55"/>
        <n v="866.14"/>
        <n v="1338.27"/>
        <n v="1538.51"/>
        <n v="1777.17"/>
        <n v="1994.16"/>
        <n v="2158.27"/>
        <n v="2200.58"/>
        <n v="3139.1"/>
        <s v="."/>
        <s v="tl"/>
      </sharedItems>
    </cacheField>
    <cacheField name="opt_bp?" numFmtId="0">
      <sharedItems containsSemiMixedTypes="0" containsString="0" containsNumber="1" containsInteger="1" minValue="0" maxValue="1" count="2">
        <n v="0"/>
        <n v="1"/>
      </sharedItems>
    </cacheField>
    <cacheField name="HYB" numFmtId="0">
      <sharedItems containsMixedTypes="1" containsNumber="1" minValue="0" maxValue="2968" count="162">
        <n v="0"/>
        <n v="0.01"/>
        <n v="0.02"/>
        <n v="0.03"/>
        <n v="0.05"/>
        <n v="0.06"/>
        <n v="0.08"/>
        <n v="0.09"/>
        <n v="0.1"/>
        <n v="0.11"/>
        <n v="0.13"/>
        <n v="0.14"/>
        <n v="0.15"/>
        <n v="0.16"/>
        <n v="0.17"/>
        <n v="0.18"/>
        <n v="0.23"/>
        <n v="0.24"/>
        <n v="0.25"/>
        <n v="0.33"/>
        <n v="0.34"/>
        <n v="0.37"/>
        <n v="0.39"/>
        <n v="0.4"/>
        <n v="0.41"/>
        <n v="0.44"/>
        <n v="0.45"/>
        <n v="0.47"/>
        <n v="0.52"/>
        <n v="0.54"/>
        <n v="0.6"/>
        <n v="0.66"/>
        <n v="0.68"/>
        <n v="0.74"/>
        <n v="0.75"/>
        <n v="0.79"/>
        <n v="0.82"/>
        <n v="0.83"/>
        <n v="0.86"/>
        <n v="0.87"/>
        <n v="0.89"/>
        <n v="0.95"/>
        <n v="0.96"/>
        <n v="0.99"/>
        <n v="1.16"/>
        <n v="1.17"/>
        <n v="1.22"/>
        <n v="1.34"/>
        <n v="1.5"/>
        <n v="1.54"/>
        <n v="1.69"/>
        <n v="1.73"/>
        <n v="1.94"/>
        <n v="2.07"/>
        <n v="2.11"/>
        <n v="2.15"/>
        <n v="2.2"/>
        <n v="2.29"/>
        <n v="2.37"/>
        <n v="2.46"/>
        <n v="2.56"/>
        <n v="2.59"/>
        <n v="2.74"/>
        <n v="2.76"/>
        <n v="2.8"/>
        <n v="2.86"/>
        <n v="2.89"/>
        <n v="2.96"/>
        <n v="2.98"/>
        <n v="3.16"/>
        <n v="3.17"/>
        <n v="3.49"/>
        <n v="3.57"/>
        <n v="3.71"/>
        <n v="4.6"/>
        <n v="4.71"/>
        <n v="4.99"/>
        <n v="5.28"/>
        <n v="5.71"/>
        <n v="5.78"/>
        <n v="5.83"/>
        <n v="6.26"/>
        <n v="6.38"/>
        <n v="6.41"/>
        <n v="7.18"/>
        <n v="7.77"/>
        <n v="7.8"/>
        <n v="8.07"/>
        <n v="8.34"/>
        <n v="8.65"/>
        <n v="8.95"/>
        <n v="9.65"/>
        <n v="10.24"/>
        <n v="10.71"/>
        <n v="11.09"/>
        <n v="11.17"/>
        <n v="11.45"/>
        <n v="11.88"/>
        <n v="12.83"/>
        <n v="13.42"/>
        <n v="13.49"/>
        <n v="13.51"/>
        <n v="13.72"/>
        <n v="15.83"/>
        <n v="16.34"/>
        <n v="16.4"/>
        <n v="16.66"/>
        <n v="17.58"/>
        <n v="17.77"/>
        <n v="18.32"/>
        <n v="18.63"/>
        <n v="19.13"/>
        <n v="19.99"/>
        <n v="20.34"/>
        <n v="20.88"/>
        <n v="21.04"/>
        <n v="21.42"/>
        <n v="23"/>
        <n v="23.91"/>
        <n v="29.6"/>
        <n v="34.61"/>
        <n v="37.05"/>
        <n v="39.64"/>
        <n v="40.89"/>
        <n v="43.78"/>
        <n v="64.38"/>
        <n v="72.32"/>
        <n v="75.83"/>
        <n v="113.36"/>
        <n v="132.71"/>
        <n v="157.35"/>
        <n v="159.96"/>
        <n v="163.67"/>
        <n v="170.85"/>
        <n v="198.26"/>
        <n v="225.32"/>
        <n v="237.7"/>
        <n v="247.28"/>
        <n v="269.73"/>
        <n v="385.95"/>
        <n v="394.9"/>
        <n v="411.21"/>
        <n v="431.59"/>
        <n v="501.24"/>
        <n v="580.86"/>
        <n v="674.54"/>
        <n v="829.77"/>
        <n v="865.15"/>
        <n v="1159.77"/>
        <n v="1416.07"/>
        <n v="1733.41"/>
        <n v="1812.3"/>
        <n v="1923.06"/>
        <n v="2099.11"/>
        <n v="2161.91"/>
        <n v="2179.2"/>
        <n v="2195.21"/>
        <n v="2259.55"/>
        <n v="2520.5"/>
        <n v="2968"/>
        <s v="."/>
        <s v="tl"/>
      </sharedItems>
    </cacheField>
    <cacheField name="opt_hyb?" numFmtId="0">
      <sharedItems containsSemiMixedTypes="0" containsString="0" containsNumber="1" containsInteger="1" minValue="0" maxValue="1" count="2">
        <n v="0"/>
        <n v="1"/>
      </sharedItems>
    </cacheField>
    <cacheField name="Column O" numFmtId="0">
      <sharedItems containsString="0" containsBlank="1" count="1">
        <m/>
      </sharedItems>
    </cacheField>
    <cacheField name="rem_vert" numFmtId="0">
      <sharedItems containsSemiMixedTypes="0" containsString="0" containsNumber="1" containsInteger="1" minValue="0" maxValue="113" count="32">
        <n v="0"/>
        <n v="1"/>
        <n v="2"/>
        <n v="3"/>
        <n v="4"/>
        <n v="5"/>
        <n v="6"/>
        <n v="7"/>
        <n v="8"/>
        <n v="10"/>
        <n v="11"/>
        <n v="13"/>
        <n v="15"/>
        <n v="16"/>
        <n v="21"/>
        <n v="23"/>
        <n v="29"/>
        <n v="31"/>
        <n v="32"/>
        <n v="34"/>
        <n v="37"/>
        <n v="47"/>
        <n v="50"/>
        <n v="52"/>
        <n v="57"/>
        <n v="64"/>
        <n v="66"/>
        <n v="73"/>
        <n v="80"/>
        <n v="97"/>
        <n v="108"/>
        <n v="113"/>
      </sharedItems>
    </cacheField>
    <cacheField name="Column Q" numFmtId="0">
      <sharedItems containsString="0" containsBlank="1" count="1">
        <m/>
      </sharedItems>
    </cacheField>
    <cacheField name="ok inst?" numFmtId="0">
      <sharedItems containsSemiMixedTypes="0" containsString="0" containsNumber="1" containsInteger="1" minValue="1" maxValue="1" count="1">
        <n v="1"/>
      </sharedItems>
    </cacheField>
    <cacheField name="inst_name2" numFmtId="0">
      <sharedItems count="118">
        <s v="1-FullIns_3"/>
        <s v="1-FullIns_4"/>
        <s v="1-Insertions_4"/>
        <s v="2-FullIns_3"/>
        <s v="2-Insertions_3"/>
        <s v="2-Insertions_4"/>
        <s v="3-FullIns_3"/>
        <s v="3-Insertions_3"/>
        <s v="4-FullIns_3"/>
        <s v="4-Insertions_3"/>
        <s v="5-FullIns_3"/>
        <s v="adjnoun"/>
        <s v="anna"/>
        <s v="arc130"/>
        <s v="ash219"/>
        <s v="ash331"/>
        <s v="ash85"/>
        <s v="bcspwr01"/>
        <s v="bcspwr02"/>
        <s v="bcspwr03"/>
        <s v="bfw62a"/>
        <s v="can__144"/>
        <s v="can61"/>
        <s v="can62"/>
        <s v="can73"/>
        <s v="can96"/>
        <s v="celegansneural"/>
        <s v="chesapeake"/>
        <s v="curtis54"/>
        <s v="david"/>
        <s v="dolphins"/>
        <s v="DSJC125.1"/>
        <s v="DSJC125.5"/>
        <s v="dwt___59"/>
        <s v="dwt66"/>
        <s v="dwt72"/>
        <s v="dwt87"/>
        <s v="football"/>
        <s v="games120"/>
        <s v="gre__115"/>
        <s v="huck"/>
        <s v="ibm32"/>
        <s v="impcol_b"/>
        <s v="jazz"/>
        <s v="jean"/>
        <s v="karate"/>
        <s v="L100.cavity01"/>
        <s v="L100.fidap025"/>
        <s v="L100.fidapm02"/>
        <s v="L100.rbs480a"/>
        <s v="L100.steam2"/>
        <s v="L100.wm1"/>
        <s v="L100.wm2"/>
        <s v="L100.wm3"/>
        <s v="L120.cavity01"/>
        <s v="L120.fidap022"/>
        <s v="L120.fidap025"/>
        <s v="L120.fidapm02"/>
        <s v="L120.rbs480a"/>
        <s v="L120.wm2"/>
        <s v="L125.ash608"/>
        <s v="L125.bcsstk05"/>
        <s v="L125.can__161"/>
        <s v="L125.can__187"/>
        <s v="L125.dwt__162"/>
        <s v="L125.dwt__193"/>
        <s v="L125.fs_183_1"/>
        <s v="L125.gre__185"/>
        <s v="L125.lop163"/>
        <s v="L125.west0167"/>
        <s v="L125.will199"/>
        <s v="L80.cavity01"/>
        <s v="L80.fidap025"/>
        <s v="L80.steam2"/>
        <s v="L80.wm1"/>
        <s v="L80.wm2"/>
        <s v="L80.wm3"/>
        <s v="lesmis"/>
        <s v="lund_a"/>
        <s v="miles1000"/>
        <s v="miles1500"/>
        <s v="miles250"/>
        <s v="miles500"/>
        <s v="miles750"/>
        <s v="mug100_1"/>
        <s v="mug100_25"/>
        <s v="mug88_1"/>
        <s v="mug88_25"/>
        <s v="mulsol.i.2"/>
        <s v="mulsol.i.3"/>
        <s v="mulsol.i.4"/>
        <s v="mulsol.i.5"/>
        <s v="myciel3"/>
        <s v="myciel4"/>
        <s v="myciel5"/>
        <s v="myciel6"/>
        <s v="myciel7"/>
        <s v="polbooks"/>
        <s v="pores_1"/>
        <s v="queen10_10"/>
        <s v="queen11_11"/>
        <s v="queen12_12"/>
        <s v="queen13_13"/>
        <s v="queen14_14"/>
        <s v="queen5_5"/>
        <s v="queen6_6"/>
        <s v="queen7_7"/>
        <s v="queen8_12"/>
        <s v="queen8_8"/>
        <s v="queen9_9"/>
        <s v="r125.1"/>
        <s v="r125.1c"/>
        <s v="r125.5"/>
        <s v="rw136"/>
        <s v="steam3"/>
        <s v="west0067"/>
        <s v="west0132"/>
        <s v="will57"/>
      </sharedItems>
    </cacheField>
    <cacheField name="nnodes" numFmtId="0">
      <sharedItems containsSemiMixedTypes="0" containsString="0" containsNumber="1" containsInteger="1" minValue="11" maxValue="297" count="62">
        <n v="11"/>
        <n v="23"/>
        <n v="25"/>
        <n v="30"/>
        <n v="32"/>
        <n v="34"/>
        <n v="36"/>
        <n v="37"/>
        <n v="39"/>
        <n v="47"/>
        <n v="49"/>
        <n v="52"/>
        <n v="54"/>
        <n v="56"/>
        <n v="57"/>
        <n v="59"/>
        <n v="61"/>
        <n v="62"/>
        <n v="64"/>
        <n v="66"/>
        <n v="67"/>
        <n v="72"/>
        <n v="73"/>
        <n v="74"/>
        <n v="77"/>
        <n v="79"/>
        <n v="80"/>
        <n v="81"/>
        <n v="85"/>
        <n v="87"/>
        <n v="88"/>
        <n v="93"/>
        <n v="95"/>
        <n v="96"/>
        <n v="100"/>
        <n v="104"/>
        <n v="105"/>
        <n v="112"/>
        <n v="114"/>
        <n v="115"/>
        <n v="118"/>
        <n v="120"/>
        <n v="121"/>
        <n v="125"/>
        <n v="128"/>
        <n v="130"/>
        <n v="132"/>
        <n v="136"/>
        <n v="138"/>
        <n v="144"/>
        <n v="147"/>
        <n v="149"/>
        <n v="154"/>
        <n v="169"/>
        <n v="184"/>
        <n v="185"/>
        <n v="186"/>
        <n v="188"/>
        <n v="191"/>
        <n v="196"/>
        <n v="198"/>
        <n v="297"/>
      </sharedItems>
    </cacheField>
    <cacheField name="nedges" numFmtId="0">
      <sharedItems containsSemiMixedTypes="0" containsString="0" containsNumber="1" containsInteger="1" minValue="20" maxValue="7763" count="110">
        <n v="20"/>
        <n v="71"/>
        <n v="72"/>
        <n v="78"/>
        <n v="100"/>
        <n v="110"/>
        <n v="118"/>
        <n v="146"/>
        <n v="156"/>
        <n v="159"/>
        <n v="160"/>
        <n v="166"/>
        <n v="170"/>
        <n v="177"/>
        <n v="179"/>
        <n v="201"/>
        <n v="209"/>
        <n v="210"/>
        <n v="219"/>
        <n v="232"/>
        <n v="236"/>
        <n v="254"/>
        <n v="255"/>
        <n v="256"/>
        <n v="290"/>
        <n v="301"/>
        <n v="304"/>
        <n v="329"/>
        <n v="331"/>
        <n v="337"/>
        <n v="346"/>
        <n v="386"/>
        <n v="387"/>
        <n v="390"/>
        <n v="406"/>
        <n v="411"/>
        <n v="425"/>
        <n v="441"/>
        <n v="444"/>
        <n v="476"/>
        <n v="493"/>
        <n v="541"/>
        <n v="560"/>
        <n v="576"/>
        <n v="593"/>
        <n v="613"/>
        <n v="616"/>
        <n v="638"/>
        <n v="639"/>
        <n v="641"/>
        <n v="652"/>
        <n v="712"/>
        <n v="726"/>
        <n v="728"/>
        <n v="736"/>
        <n v="755"/>
        <n v="792"/>
        <n v="866"/>
        <n v="912"/>
        <n v="943"/>
        <n v="1022"/>
        <n v="1056"/>
        <n v="1170"/>
        <n v="1177"/>
        <n v="1201"/>
        <n v="1218"/>
        <n v="1257"/>
        <n v="1272"/>
        <n v="1368"/>
        <n v="1470"/>
        <n v="1656"/>
        <n v="1739"/>
        <n v="1766"/>
        <n v="1786"/>
        <n v="1844"/>
        <n v="1848"/>
        <n v="1980"/>
        <n v="2031"/>
        <n v="2113"/>
        <n v="2148"/>
        <n v="2360"/>
        <n v="2550"/>
        <n v="2596"/>
        <n v="2701"/>
        <n v="2742"/>
        <n v="2787"/>
        <n v="2837"/>
        <n v="2934"/>
        <n v="2956"/>
        <n v="2972"/>
        <n v="2982"/>
        <n v="3039"/>
        <n v="3090"/>
        <n v="3216"/>
        <n v="3273"/>
        <n v="3328"/>
        <n v="3387"/>
        <n v="3392"/>
        <n v="3838"/>
        <n v="3885"/>
        <n v="3891"/>
        <n v="3916"/>
        <n v="3946"/>
        <n v="3973"/>
        <n v="4186"/>
        <n v="4307"/>
        <n v="4626"/>
        <n v="5198"/>
        <n v="7501"/>
        <n v="7763"/>
      </sharedItems>
    </cacheField>
    <cacheField name="status" numFmtId="0">
      <sharedItems count="2">
        <s v="Optimal"/>
        <s v="TimeLimit"/>
      </sharedItems>
    </cacheField>
    <cacheField name="best_ub" numFmtId="0">
      <sharedItems containsSemiMixedTypes="0" containsString="0" containsNumber="1" containsInteger="1" minValue="0" maxValue="1E+020" count="11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5"/>
        <n v="36"/>
        <n v="37"/>
        <n v="38"/>
        <n v="39"/>
        <n v="40"/>
        <n v="42"/>
        <n v="43"/>
        <n v="44"/>
        <n v="47"/>
        <n v="48"/>
        <n v="49"/>
        <n v="50"/>
        <n v="51"/>
        <n v="52"/>
        <n v="53"/>
        <n v="55"/>
        <n v="58"/>
        <n v="59"/>
        <n v="60"/>
        <n v="61"/>
        <n v="62"/>
        <n v="63"/>
        <n v="64"/>
        <n v="66"/>
        <n v="68"/>
        <n v="69"/>
        <n v="70"/>
        <n v="71"/>
        <n v="72"/>
        <n v="73"/>
        <n v="74"/>
        <n v="75"/>
        <n v="76"/>
        <n v="77"/>
        <n v="78"/>
        <n v="79"/>
        <n v="81"/>
        <n v="82"/>
        <n v="83"/>
        <n v="84"/>
        <n v="85"/>
        <n v="86"/>
        <n v="88"/>
        <n v="89"/>
        <n v="90"/>
        <n v="91"/>
        <n v="92"/>
        <n v="93"/>
        <n v="94"/>
        <n v="96"/>
        <n v="97"/>
        <n v="98"/>
        <n v="99"/>
        <n v="100"/>
        <n v="102"/>
        <n v="103"/>
        <n v="104"/>
        <n v="106"/>
        <n v="107"/>
        <n v="108"/>
        <n v="109"/>
        <n v="112"/>
        <n v="113"/>
        <n v="115"/>
        <n v="116"/>
        <n v="119"/>
        <n v="120"/>
        <n v="130"/>
        <n v="131"/>
        <n v="134"/>
        <n v="136"/>
        <n v="141"/>
        <n v="145"/>
        <n v="152"/>
        <n v="153"/>
        <n v="157"/>
        <n v="159"/>
        <n v="183"/>
        <n v="184"/>
        <n v="1E+020"/>
      </sharedItems>
    </cacheField>
    <cacheField name="best_lb" numFmtId="0">
      <sharedItems containsSemiMixedTypes="0" containsString="0" containsNumber="1" minValue="0" maxValue="49" count="186">
        <n v="0"/>
        <n v="1"/>
        <n v="2"/>
        <n v="3"/>
        <n v="3.37143"/>
        <n v="3.46269"/>
        <n v="3.7551"/>
        <n v="3.83673"/>
        <n v="3.93717"/>
        <n v="4"/>
        <n v="4.03125"/>
        <n v="4.05263"/>
        <n v="4.05517"/>
        <n v="4.06349"/>
        <n v="4.06504"/>
        <n v="4.0678"/>
        <n v="4.08163"/>
        <n v="4.08791"/>
        <n v="4.10256"/>
        <n v="4.36364"/>
        <n v="4.44444"/>
        <n v="4.49057"/>
        <n v="4.53333"/>
        <n v="4.56471"/>
        <n v="4.61538"/>
        <n v="4.625"/>
        <n v="4.63366"/>
        <n v="4.65957"/>
        <n v="4.67606"/>
        <n v="4.86275"/>
        <n v="4.96552"/>
        <n v="5"/>
        <n v="5.04255"/>
        <n v="5.06299"/>
        <n v="5.06557"/>
        <n v="5.06838"/>
        <n v="5.08247"/>
        <n v="5.1039"/>
        <n v="5.13793"/>
        <n v="5.17391"/>
        <n v="5.23944"/>
        <n v="5.2766"/>
        <n v="5.33333"/>
        <n v="5.37647"/>
        <n v="5.41667"/>
        <n v="5.6"/>
        <n v="5.72"/>
        <n v="5.77778"/>
        <n v="5.82051"/>
        <n v="6"/>
        <n v="6.03175"/>
        <n v="6.08219"/>
        <n v="6.14286"/>
        <n v="6.1875"/>
        <n v="6.19718"/>
        <n v="6.34783"/>
        <n v="6.42105"/>
        <n v="6.63265"/>
        <n v="7"/>
        <n v="7.06667"/>
        <n v="7.12903"/>
        <n v="7.19608"/>
        <n v="7.55556"/>
        <n v="7.58571"/>
        <n v="7.79104"/>
        <n v="8"/>
        <n v="8.09091"/>
        <n v="8.41558"/>
        <n v="8.44898"/>
        <n v="8.63265"/>
        <n v="8.64935"/>
        <n v="8.85864"/>
        <n v="8.97143"/>
        <n v="9"/>
        <n v="9.12414"/>
        <n v="9.14286"/>
        <n v="9.14634"/>
        <n v="9.15254"/>
        <n v="9.16071"/>
        <n v="9.18367"/>
        <n v="9.1978"/>
        <n v="9.23077"/>
        <n v="9.64286"/>
        <n v="9.81818"/>
        <n v="10"/>
        <n v="10.0957"/>
        <n v="10.1163"/>
        <n v="10.1475"/>
        <n v="10.1525"/>
        <n v="10.1957"/>
        <n v="10.2338"/>
        <n v="10.3846"/>
        <n v="10.5"/>
        <n v="10.5211"/>
        <n v="10.7168"/>
        <n v="10.98"/>
        <n v="11"/>
        <n v="11.0851"/>
        <n v="11.1579"/>
        <n v="11.1957"/>
        <n v="11.2609"/>
        <n v="11.35"/>
        <n v="11.8421"/>
        <n v="11.8723"/>
        <n v="11.934"/>
        <n v="12"/>
        <n v="12.1295"/>
        <n v="12.1875"/>
        <n v="12.2195"/>
        <n v="12.4545"/>
        <n v="12.5577"/>
        <n v="12.6"/>
        <n v="13"/>
        <n v="13.0769"/>
        <n v="13.15"/>
        <n v="13.4"/>
        <n v="13.44"/>
        <n v="13.7801"/>
        <n v="13.9219"/>
        <n v="14"/>
        <n v="14.1842"/>
        <n v="14.2222"/>
        <n v="14.2276"/>
        <n v="14.2373"/>
        <n v="14.3077"/>
        <n v="14.359"/>
        <n v="15"/>
        <n v="15.1111"/>
        <n v="15.125"/>
        <n v="15.1368"/>
        <n v="15.1489"/>
        <n v="15.1667"/>
        <n v="15.2295"/>
        <n v="15.2435"/>
        <n v="15.2887"/>
        <n v="15.3043"/>
        <n v="15.3636"/>
        <n v="15.5833"/>
        <n v="15.625"/>
        <n v="16"/>
        <n v="16.3596"/>
        <n v="16.4812"/>
        <n v="16.9091"/>
        <n v="17"/>
        <n v="17.3415"/>
        <n v="17.9268"/>
        <n v="18"/>
        <n v="18.7016"/>
        <n v="18.75"/>
        <n v="19"/>
        <n v="19.25"/>
        <n v="19.2889"/>
        <n v="19.3089"/>
        <n v="19.4176"/>
        <n v="19.4607"/>
        <n v="19.75"/>
        <n v="19.8395"/>
        <n v="19.9149"/>
        <n v="20"/>
        <n v="20.2021"/>
        <n v="20.3248"/>
        <n v="20.3423"/>
        <n v="20.4935"/>
        <n v="20.7931"/>
        <n v="21"/>
        <n v="21.2"/>
        <n v="21.3333"/>
        <n v="21.3958"/>
        <n v="21.4407"/>
        <n v="21.5133"/>
        <n v="22"/>
        <n v="22.1695"/>
        <n v="22.8529"/>
        <n v="23"/>
        <n v="23.1714"/>
        <n v="23.2619"/>
        <n v="24"/>
        <n v="24.5934"/>
        <n v="25"/>
        <n v="25.2029"/>
        <n v="25.5094"/>
        <n v="25.9239"/>
        <n v="26.1667"/>
        <n v="28"/>
        <n v="38"/>
        <n v="49"/>
      </sharedItems>
    </cacheField>
    <cacheField name="time" numFmtId="0">
      <sharedItems containsSemiMixedTypes="0" containsString="0" containsNumber="1" minValue="0.08175" maxValue="1802.68" count="157">
        <n v="0.08175"/>
        <n v="0.084924"/>
        <n v="0.098903"/>
        <n v="0.189824"/>
        <n v="0.200627"/>
        <n v="0.238681"/>
        <n v="0.307826"/>
        <n v="0.413539"/>
        <n v="0.459777"/>
        <n v="0.47594"/>
        <n v="0.555887"/>
        <n v="0.569048"/>
        <n v="0.623766"/>
        <n v="0.84288"/>
        <n v="0.84692"/>
        <n v="1.01158"/>
        <n v="1.09793"/>
        <n v="1.10072"/>
        <n v="1.1302"/>
        <n v="1.14279"/>
        <n v="1.22958"/>
        <n v="1.30678"/>
        <n v="1.35576"/>
        <n v="1.37728"/>
        <n v="1.42771"/>
        <n v="1.47607"/>
        <n v="1.63112"/>
        <n v="1.69176"/>
        <n v="1.72128"/>
        <n v="1.75064"/>
        <n v="1.83834"/>
        <n v="1.87583"/>
        <n v="1.88657"/>
        <n v="1.90617"/>
        <n v="1.99839"/>
        <n v="2.25724"/>
        <n v="2.36982"/>
        <n v="2.49347"/>
        <n v="2.69398"/>
        <n v="2.79054"/>
        <n v="2.90556"/>
        <n v="3.1297"/>
        <n v="3.29039"/>
        <n v="3.29849"/>
        <n v="3.36808"/>
        <n v="3.48195"/>
        <n v="3.70567"/>
        <n v="3.72098"/>
        <n v="4.18858"/>
        <n v="4.2252"/>
        <n v="4.64888"/>
        <n v="5.10793"/>
        <n v="5.16425"/>
        <n v="5.21164"/>
        <n v="5.51747"/>
        <n v="5.57245"/>
        <n v="5.67695"/>
        <n v="5.67913"/>
        <n v="5.71168"/>
        <n v="5.7607"/>
        <n v="5.80663"/>
        <n v="5.89922"/>
        <n v="6.05345"/>
        <n v="6.35639"/>
        <n v="7.03107"/>
        <n v="7.03336"/>
        <n v="7.26314"/>
        <n v="7.39144"/>
        <n v="7.39401"/>
        <n v="7.98883"/>
        <n v="8.00979"/>
        <n v="9.30066"/>
        <n v="10.6657"/>
        <n v="11.0699"/>
        <n v="11.2781"/>
        <n v="12.5526"/>
        <n v="13.3293"/>
        <n v="14.1494"/>
        <n v="14.7846"/>
        <n v="20.2368"/>
        <n v="20.2807"/>
        <n v="23.3447"/>
        <n v="24.4511"/>
        <n v="25.0385"/>
        <n v="27.8319"/>
        <n v="29.9787"/>
        <n v="32.5909"/>
        <n v="35.2578"/>
        <n v="42.0987"/>
        <n v="46.2818"/>
        <n v="47.5491"/>
        <n v="48.6277"/>
        <n v="50.1147"/>
        <n v="50.2279"/>
        <n v="51.8956"/>
        <n v="52.068"/>
        <n v="52.2549"/>
        <n v="52.8267"/>
        <n v="54.4218"/>
        <n v="56.024"/>
        <n v="58.5721"/>
        <n v="62.0206"/>
        <n v="69.083"/>
        <n v="84.4181"/>
        <n v="85.5055"/>
        <n v="91.9409"/>
        <n v="95.2446"/>
        <n v="101.648"/>
        <n v="105.092"/>
        <n v="110.84"/>
        <n v="114.391"/>
        <n v="120.167"/>
        <n v="124.784"/>
        <n v="220.214"/>
        <n v="245.444"/>
        <n v="246.486"/>
        <n v="271.77"/>
        <n v="287.198"/>
        <n v="441.129"/>
        <n v="484.783"/>
        <n v="549.479"/>
        <n v="631.913"/>
        <n v="856.269"/>
        <n v="912.92"/>
        <n v="947.342"/>
        <n v="1060.71"/>
        <n v="1800"/>
        <n v="1800.01"/>
        <n v="1800.02"/>
        <n v="1800.03"/>
        <n v="1800.04"/>
        <n v="1800.05"/>
        <n v="1800.06"/>
        <n v="1800.07"/>
        <n v="1800.08"/>
        <n v="1800.09"/>
        <n v="1800.1"/>
        <n v="1800.11"/>
        <n v="1800.12"/>
        <n v="1800.13"/>
        <n v="1800.14"/>
        <n v="1800.15"/>
        <n v="1800.16"/>
        <n v="1800.17"/>
        <n v="1800.18"/>
        <n v="1800.19"/>
        <n v="1800.2"/>
        <n v="1800.21"/>
        <n v="1800.24"/>
        <n v="1800.25"/>
        <n v="1800.26"/>
        <n v="1800.27"/>
        <n v="1800.33"/>
        <n v="1800.34"/>
        <n v="1800.36"/>
        <n v="1800.4"/>
        <n v="1802.68"/>
      </sharedItems>
    </cacheField>
    <cacheField name="time_pricing" numFmtId="0">
      <sharedItems containsSemiMixedTypes="0" containsString="0" containsNumber="1" minValue="0.008184" maxValue="1617.15" count="323">
        <n v="0.008184"/>
        <n v="0.025648"/>
        <n v="0.02901"/>
        <n v="0.046682"/>
        <n v="0.078293"/>
        <n v="0.084575"/>
        <n v="0.115936"/>
        <n v="0.12493"/>
        <n v="0.128713"/>
        <n v="0.191852"/>
        <n v="0.250492"/>
        <n v="0.262091"/>
        <n v="0.263285"/>
        <n v="0.353134"/>
        <n v="0.371256"/>
        <n v="0.392605"/>
        <n v="0.401557"/>
        <n v="0.48464"/>
        <n v="0.560676"/>
        <n v="0.576337"/>
        <n v="0.578032"/>
        <n v="0.594706"/>
        <n v="0.605532"/>
        <n v="0.606442"/>
        <n v="0.663638"/>
        <n v="0.688049"/>
        <n v="0.771584"/>
        <n v="0.780463"/>
        <n v="0.787946"/>
        <n v="0.855268"/>
        <n v="0.858847"/>
        <n v="0.879486"/>
        <n v="0.882633"/>
        <n v="0.882918"/>
        <n v="0.883018"/>
        <n v="0.883384"/>
        <n v="0.892539"/>
        <n v="0.898522"/>
        <n v="0.903184"/>
        <n v="0.908204"/>
        <n v="0.947626"/>
        <n v="0.980841"/>
        <n v="0.987835"/>
        <n v="0.998249"/>
        <n v="1.04008"/>
        <n v="1.12011"/>
        <n v="1.15906"/>
        <n v="1.4146"/>
        <n v="1.47055"/>
        <n v="1.4711"/>
        <n v="1.5177"/>
        <n v="1.5352"/>
        <n v="1.79471"/>
        <n v="1.84609"/>
        <n v="1.93761"/>
        <n v="1.93807"/>
        <n v="1.94386"/>
        <n v="2.05029"/>
        <n v="2.0836"/>
        <n v="2.14436"/>
        <n v="2.27354"/>
        <n v="2.38916"/>
        <n v="2.61017"/>
        <n v="2.96698"/>
        <n v="2.98471"/>
        <n v="3.02184"/>
        <n v="3.1089"/>
        <n v="3.39866"/>
        <n v="3.43081"/>
        <n v="3.62141"/>
        <n v="3.64438"/>
        <n v="3.85631"/>
        <n v="3.89209"/>
        <n v="3.95667"/>
        <n v="3.96317"/>
        <n v="4.13074"/>
        <n v="4.15048"/>
        <n v="4.30274"/>
        <n v="4.31174"/>
        <n v="4.44906"/>
        <n v="4.50567"/>
        <n v="5.12589"/>
        <n v="5.21841"/>
        <n v="5.34861"/>
        <n v="5.47055"/>
        <n v="5.70174"/>
        <n v="5.84561"/>
        <n v="6.46073"/>
        <n v="6.94416"/>
        <n v="7.3453"/>
        <n v="7.89175"/>
        <n v="10.9007"/>
        <n v="11.5972"/>
        <n v="15.2814"/>
        <n v="15.664"/>
        <n v="16.4334"/>
        <n v="17.1577"/>
        <n v="18.1156"/>
        <n v="24.0319"/>
        <n v="26.6333"/>
        <n v="28.0625"/>
        <n v="29.2738"/>
        <n v="30.8554"/>
        <n v="33.4011"/>
        <n v="34.6887"/>
        <n v="35.6462"/>
        <n v="35.9595"/>
        <n v="36.026"/>
        <n v="37.3795"/>
        <n v="38.9923"/>
        <n v="43.5553"/>
        <n v="45.8186"/>
        <n v="46.371"/>
        <n v="48.6834"/>
        <n v="54.2152"/>
        <n v="55.5239"/>
        <n v="56.4423"/>
        <n v="56.7685"/>
        <n v="58.9793"/>
        <n v="59.6582"/>
        <n v="59.98"/>
        <n v="63.3741"/>
        <n v="64.3931"/>
        <n v="65.3339"/>
        <n v="67.1232"/>
        <n v="67.3741"/>
        <n v="67.9848"/>
        <n v="68.3481"/>
        <n v="69.1946"/>
        <n v="69.9752"/>
        <n v="72.5705"/>
        <n v="72.7244"/>
        <n v="76.0758"/>
        <n v="76.6956"/>
        <n v="77.652"/>
        <n v="78.3402"/>
        <n v="78.8455"/>
        <n v="79.0292"/>
        <n v="82.5369"/>
        <n v="83.3163"/>
        <n v="87.5664"/>
        <n v="87.6646"/>
        <n v="89.5126"/>
        <n v="89.5364"/>
        <n v="89.58"/>
        <n v="91.1703"/>
        <n v="91.5541"/>
        <n v="92.9903"/>
        <n v="96.2788"/>
        <n v="102.363"/>
        <n v="103.333"/>
        <n v="103.998"/>
        <n v="105.75"/>
        <n v="106.606"/>
        <n v="108.31"/>
        <n v="113.488"/>
        <n v="113.532"/>
        <n v="118.237"/>
        <n v="118.513"/>
        <n v="119.334"/>
        <n v="119.815"/>
        <n v="123.418"/>
        <n v="123.744"/>
        <n v="123.762"/>
        <n v="123.775"/>
        <n v="127.93"/>
        <n v="128.604"/>
        <n v="130.135"/>
        <n v="137.684"/>
        <n v="137.902"/>
        <n v="139.031"/>
        <n v="139.325"/>
        <n v="141.442"/>
        <n v="142.693"/>
        <n v="143.48"/>
        <n v="145.286"/>
        <n v="146.509"/>
        <n v="147.387"/>
        <n v="150.707"/>
        <n v="164.208"/>
        <n v="175.466"/>
        <n v="176.105"/>
        <n v="176.558"/>
        <n v="180.154"/>
        <n v="188.204"/>
        <n v="194.634"/>
        <n v="195.313"/>
        <n v="195.76"/>
        <n v="200.49"/>
        <n v="200.633"/>
        <n v="201.048"/>
        <n v="203.298"/>
        <n v="206.864"/>
        <n v="212.917"/>
        <n v="214.863"/>
        <n v="217.674"/>
        <n v="220.694"/>
        <n v="222.561"/>
        <n v="226.19"/>
        <n v="230.305"/>
        <n v="255.583"/>
        <n v="260.887"/>
        <n v="263.316"/>
        <n v="263.675"/>
        <n v="283.691"/>
        <n v="286.964"/>
        <n v="293.316"/>
        <n v="297.703"/>
        <n v="301.541"/>
        <n v="305.552"/>
        <n v="307.321"/>
        <n v="312.498"/>
        <n v="313.003"/>
        <n v="317.54"/>
        <n v="319.15"/>
        <n v="329.141"/>
        <n v="332.7"/>
        <n v="334.374"/>
        <n v="345.342"/>
        <n v="370.151"/>
        <n v="371.416"/>
        <n v="372.507"/>
        <n v="390.353"/>
        <n v="397.031"/>
        <n v="402.2"/>
        <n v="414.732"/>
        <n v="425.26"/>
        <n v="434.779"/>
        <n v="437.938"/>
        <n v="442.996"/>
        <n v="448.891"/>
        <n v="461.361"/>
        <n v="470.633"/>
        <n v="483.641"/>
        <n v="491.468"/>
        <n v="561.207"/>
        <n v="568.694"/>
        <n v="586.808"/>
        <n v="588.777"/>
        <n v="626.657"/>
        <n v="635.53"/>
        <n v="645.03"/>
        <n v="656.633"/>
        <n v="658.869"/>
        <n v="661.504"/>
        <n v="688.342"/>
        <n v="702.374"/>
        <n v="714.999"/>
        <n v="721.411"/>
        <n v="747.007"/>
        <n v="747.664"/>
        <n v="748.147"/>
        <n v="755.627"/>
        <n v="757.069"/>
        <n v="780.972"/>
        <n v="817.134"/>
        <n v="836.713"/>
        <n v="863.781"/>
        <n v="897.75"/>
        <n v="939.639"/>
        <n v="984.157"/>
        <n v="1023.45"/>
        <n v="1028.19"/>
        <n v="1031.83"/>
        <n v="1038.58"/>
        <n v="1044.72"/>
        <n v="1049.69"/>
        <n v="1081.72"/>
        <n v="1084.79"/>
        <n v="1085.59"/>
        <n v="1107.55"/>
        <n v="1111.55"/>
        <n v="1122.38"/>
        <n v="1130.62"/>
        <n v="1156.14"/>
        <n v="1157.93"/>
        <n v="1172.98"/>
        <n v="1173.76"/>
        <n v="1186.95"/>
        <n v="1194.84"/>
        <n v="1204.45"/>
        <n v="1205.99"/>
        <n v="1208.64"/>
        <n v="1235.78"/>
        <n v="1254.48"/>
        <n v="1263.45"/>
        <n v="1281.85"/>
        <n v="1283.55"/>
        <n v="1288.22"/>
        <n v="1312.02"/>
        <n v="1315.4"/>
        <n v="1316.88"/>
        <n v="1340.46"/>
        <n v="1345.57"/>
        <n v="1352.42"/>
        <n v="1357.23"/>
        <n v="1370.62"/>
        <n v="1384.69"/>
        <n v="1392.2"/>
        <n v="1401.13"/>
        <n v="1403.66"/>
        <n v="1403.94"/>
        <n v="1445.68"/>
        <n v="1448.81"/>
        <n v="1453.9"/>
        <n v="1460.54"/>
        <n v="1476.19"/>
        <n v="1500.2"/>
        <n v="1505.81"/>
        <n v="1517.41"/>
        <n v="1518.61"/>
        <n v="1526.56"/>
        <n v="1529.07"/>
        <n v="1535.61"/>
        <n v="1535.76"/>
        <n v="1548.65"/>
        <n v="1561.08"/>
        <n v="1571.67"/>
        <n v="1597.34"/>
        <n v="1597.8"/>
        <n v="1602.59"/>
        <n v="1603.85"/>
        <n v="1617.15"/>
      </sharedItems>
    </cacheField>
    <cacheField name="n_alpha" numFmtId="0">
      <sharedItems containsSemiMixedTypes="0" containsString="0" containsNumber="1" containsInteger="1" minValue="34" maxValue="26621" count="310">
        <n v="34"/>
        <n v="108"/>
        <n v="113"/>
        <n v="115"/>
        <n v="119"/>
        <n v="121"/>
        <n v="148"/>
        <n v="157"/>
        <n v="197"/>
        <n v="206"/>
        <n v="249"/>
        <n v="252"/>
        <n v="263"/>
        <n v="266"/>
        <n v="296"/>
        <n v="318"/>
        <n v="319"/>
        <n v="321"/>
        <n v="324"/>
        <n v="327"/>
        <n v="329"/>
        <n v="330"/>
        <n v="334"/>
        <n v="335"/>
        <n v="337"/>
        <n v="353"/>
        <n v="354"/>
        <n v="365"/>
        <n v="374"/>
        <n v="382"/>
        <n v="387"/>
        <n v="391"/>
        <n v="393"/>
        <n v="402"/>
        <n v="403"/>
        <n v="407"/>
        <n v="408"/>
        <n v="412"/>
        <n v="414"/>
        <n v="416"/>
        <n v="423"/>
        <n v="451"/>
        <n v="453"/>
        <n v="473"/>
        <n v="484"/>
        <n v="491"/>
        <n v="495"/>
        <n v="500"/>
        <n v="505"/>
        <n v="511"/>
        <n v="514"/>
        <n v="516"/>
        <n v="524"/>
        <n v="555"/>
        <n v="566"/>
        <n v="597"/>
        <n v="611"/>
        <n v="615"/>
        <n v="627"/>
        <n v="638"/>
        <n v="644"/>
        <n v="656"/>
        <n v="659"/>
        <n v="666"/>
        <n v="709"/>
        <n v="727"/>
        <n v="737"/>
        <n v="743"/>
        <n v="751"/>
        <n v="850"/>
        <n v="892"/>
        <n v="912"/>
        <n v="917"/>
        <n v="920"/>
        <n v="928"/>
        <n v="963"/>
        <n v="1078"/>
        <n v="1196"/>
        <n v="1309"/>
        <n v="1333"/>
        <n v="1343"/>
        <n v="1405"/>
        <n v="1430"/>
        <n v="1507"/>
        <n v="1580"/>
        <n v="1658"/>
        <n v="1786"/>
        <n v="1890"/>
        <n v="1920"/>
        <n v="1960"/>
        <n v="2057"/>
        <n v="2339"/>
        <n v="2621"/>
        <n v="2677"/>
        <n v="2689"/>
        <n v="2768"/>
        <n v="2784"/>
        <n v="2880"/>
        <n v="3161"/>
        <n v="3235"/>
        <n v="3355"/>
        <n v="3438"/>
        <n v="3638"/>
        <n v="3644"/>
        <n v="3737"/>
        <n v="3755"/>
        <n v="3902"/>
        <n v="3932"/>
        <n v="3965"/>
        <n v="4074"/>
        <n v="4095"/>
        <n v="4101"/>
        <n v="4132"/>
        <n v="4160"/>
        <n v="4167"/>
        <n v="4217"/>
        <n v="4284"/>
        <n v="4290"/>
        <n v="4390"/>
        <n v="4452"/>
        <n v="4560"/>
        <n v="4609"/>
        <n v="4738"/>
        <n v="4825"/>
        <n v="4888"/>
        <n v="4889"/>
        <n v="4958"/>
        <n v="5094"/>
        <n v="5128"/>
        <n v="5155"/>
        <n v="5160"/>
        <n v="5177"/>
        <n v="5211"/>
        <n v="5221"/>
        <n v="5348"/>
        <n v="5420"/>
        <n v="5455"/>
        <n v="5472"/>
        <n v="5477"/>
        <n v="5524"/>
        <n v="5557"/>
        <n v="5664"/>
        <n v="5706"/>
        <n v="5774"/>
        <n v="5782"/>
        <n v="5874"/>
        <n v="5883"/>
        <n v="5958"/>
        <n v="5981"/>
        <n v="6063"/>
        <n v="6083"/>
        <n v="6093"/>
        <n v="6165"/>
        <n v="6182"/>
        <n v="6246"/>
        <n v="6267"/>
        <n v="6348"/>
        <n v="6373"/>
        <n v="6448"/>
        <n v="6581"/>
        <n v="6630"/>
        <n v="6659"/>
        <n v="6678"/>
        <n v="6742"/>
        <n v="6770"/>
        <n v="6819"/>
        <n v="6940"/>
        <n v="6941"/>
        <n v="6957"/>
        <n v="6959"/>
        <n v="7011"/>
        <n v="7039"/>
        <n v="7043"/>
        <n v="7099"/>
        <n v="7117"/>
        <n v="7121"/>
        <n v="7170"/>
        <n v="7211"/>
        <n v="7310"/>
        <n v="7335"/>
        <n v="7345"/>
        <n v="7355"/>
        <n v="7367"/>
        <n v="7387"/>
        <n v="7499"/>
        <n v="7605"/>
        <n v="7619"/>
        <n v="7658"/>
        <n v="7700"/>
        <n v="7777"/>
        <n v="7819"/>
        <n v="7857"/>
        <n v="7902"/>
        <n v="7984"/>
        <n v="8053"/>
        <n v="8093"/>
        <n v="8175"/>
        <n v="8189"/>
        <n v="8198"/>
        <n v="8334"/>
        <n v="8398"/>
        <n v="8439"/>
        <n v="8518"/>
        <n v="8704"/>
        <n v="8946"/>
        <n v="9042"/>
        <n v="9140"/>
        <n v="9155"/>
        <n v="9387"/>
        <n v="9513"/>
        <n v="9617"/>
        <n v="9714"/>
        <n v="9731"/>
        <n v="9752"/>
        <n v="9852"/>
        <n v="9874"/>
        <n v="9945"/>
        <n v="9963"/>
        <n v="9976"/>
        <n v="9979"/>
        <n v="10005"/>
        <n v="10133"/>
        <n v="10169"/>
        <n v="10188"/>
        <n v="10217"/>
        <n v="10243"/>
        <n v="10259"/>
        <n v="10280"/>
        <n v="10305"/>
        <n v="10366"/>
        <n v="10448"/>
        <n v="10467"/>
        <n v="10484"/>
        <n v="10552"/>
        <n v="10574"/>
        <n v="10670"/>
        <n v="10671"/>
        <n v="10793"/>
        <n v="10812"/>
        <n v="10855"/>
        <n v="10874"/>
        <n v="10956"/>
        <n v="11022"/>
        <n v="11084"/>
        <n v="11087"/>
        <n v="11094"/>
        <n v="11107"/>
        <n v="11194"/>
        <n v="11442"/>
        <n v="11453"/>
        <n v="11504"/>
        <n v="11630"/>
        <n v="11666"/>
        <n v="11780"/>
        <n v="11785"/>
        <n v="11868"/>
        <n v="11882"/>
        <n v="11892"/>
        <n v="11904"/>
        <n v="11965"/>
        <n v="11984"/>
        <n v="12057"/>
        <n v="12074"/>
        <n v="12111"/>
        <n v="12141"/>
        <n v="12351"/>
        <n v="12450"/>
        <n v="12476"/>
        <n v="12512"/>
        <n v="12611"/>
        <n v="12649"/>
        <n v="12650"/>
        <n v="12664"/>
        <n v="12770"/>
        <n v="12774"/>
        <n v="12830"/>
        <n v="12922"/>
        <n v="13022"/>
        <n v="13046"/>
        <n v="13139"/>
        <n v="13342"/>
        <n v="13585"/>
        <n v="13626"/>
        <n v="13637"/>
        <n v="13900"/>
        <n v="14037"/>
        <n v="14259"/>
        <n v="14299"/>
        <n v="14309"/>
        <n v="14345"/>
        <n v="14513"/>
        <n v="14525"/>
        <n v="14529"/>
        <n v="14643"/>
        <n v="15205"/>
        <n v="15220"/>
        <n v="16104"/>
        <n v="16175"/>
        <n v="16396"/>
        <n v="16736"/>
        <n v="17525"/>
        <n v="17596"/>
        <n v="18154"/>
        <n v="19527"/>
        <n v="20279"/>
        <n v="20727"/>
        <n v="20769"/>
        <n v="20812"/>
        <n v="23784"/>
        <n v="26621"/>
      </sharedItems>
    </cacheField>
    <cacheField name="n_branching_nodes" numFmtId="0">
      <sharedItems containsSemiMixedTypes="0" containsString="0" containsNumber="1" containsInteger="1" minValue="1" maxValue="13120" count="11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1"/>
        <n v="22"/>
        <n v="23"/>
        <n v="24"/>
        <n v="25"/>
        <n v="27"/>
        <n v="29"/>
        <n v="30"/>
        <n v="31"/>
        <n v="32"/>
        <n v="34"/>
        <n v="36"/>
        <n v="37"/>
        <n v="39"/>
        <n v="41"/>
        <n v="42"/>
        <n v="45"/>
        <n v="49"/>
        <n v="50"/>
        <n v="51"/>
        <n v="53"/>
        <n v="54"/>
        <n v="58"/>
        <n v="60"/>
        <n v="61"/>
        <n v="62"/>
        <n v="63"/>
        <n v="69"/>
        <n v="70"/>
        <n v="73"/>
        <n v="80"/>
        <n v="81"/>
        <n v="82"/>
        <n v="84"/>
        <n v="85"/>
        <n v="90"/>
        <n v="96"/>
        <n v="99"/>
        <n v="100"/>
        <n v="101"/>
        <n v="105"/>
        <n v="111"/>
        <n v="134"/>
        <n v="139"/>
        <n v="141"/>
        <n v="151"/>
        <n v="164"/>
        <n v="185"/>
        <n v="190"/>
        <n v="194"/>
        <n v="197"/>
        <n v="211"/>
        <n v="212"/>
        <n v="234"/>
        <n v="266"/>
        <n v="271"/>
        <n v="282"/>
        <n v="291"/>
        <n v="331"/>
        <n v="345"/>
        <n v="351"/>
        <n v="360"/>
        <n v="362"/>
        <n v="363"/>
        <n v="378"/>
        <n v="381"/>
        <n v="393"/>
        <n v="400"/>
        <n v="412"/>
        <n v="416"/>
        <n v="436"/>
        <n v="500"/>
        <n v="512"/>
        <n v="521"/>
        <n v="552"/>
        <n v="569"/>
        <n v="596"/>
        <n v="638"/>
        <n v="800"/>
        <n v="809"/>
        <n v="1007"/>
        <n v="1022"/>
        <n v="1041"/>
        <n v="1108"/>
        <n v="1229"/>
        <n v="1410"/>
        <n v="1530"/>
        <n v="1758"/>
        <n v="2509"/>
        <n v="2999"/>
        <n v="8040"/>
        <n v="13120"/>
      </sharedItems>
    </cacheField>
    <cacheField name="n_orig_vars" numFmtId="0">
      <sharedItems containsSemiMixedTypes="0" containsString="0" containsNumber="1" containsInteger="1" minValue="91" maxValue="31182" count="113">
        <n v="91"/>
        <n v="307"/>
        <n v="325"/>
        <n v="346"/>
        <n v="430"/>
        <n v="496"/>
        <n v="511"/>
        <n v="665"/>
        <n v="672"/>
        <n v="698"/>
        <n v="703"/>
        <n v="719"/>
        <n v="746"/>
        <n v="748"/>
        <n v="752"/>
        <n v="757"/>
        <n v="764"/>
        <n v="856"/>
        <n v="902"/>
        <n v="961"/>
        <n v="991"/>
        <n v="995"/>
        <n v="1083"/>
        <n v="1086"/>
        <n v="1093"/>
        <n v="1096"/>
        <n v="1196"/>
        <n v="1273"/>
        <n v="1278"/>
        <n v="1375"/>
        <n v="1402"/>
        <n v="1428"/>
        <n v="1464"/>
        <n v="1669"/>
        <n v="1676"/>
        <n v="1685"/>
        <n v="1711"/>
        <n v="1812"/>
        <n v="1869"/>
        <n v="1901"/>
        <n v="1953"/>
        <n v="2110"/>
        <n v="2278"/>
        <n v="2313"/>
        <n v="2372"/>
        <n v="2419"/>
        <n v="2422"/>
        <n v="2465"/>
        <n v="2549"/>
        <n v="2567"/>
        <n v="2618"/>
        <n v="2672"/>
        <n v="2681"/>
        <n v="2700"/>
        <n v="2928"/>
        <n v="2976"/>
        <n v="2991"/>
        <n v="3069"/>
        <n v="3115"/>
        <n v="3322"/>
        <n v="3525"/>
        <n v="3744"/>
        <n v="3897"/>
        <n v="4213"/>
        <n v="4305"/>
        <n v="4808"/>
        <n v="4833"/>
        <n v="4884"/>
        <n v="4997"/>
        <n v="5153"/>
        <n v="5168"/>
        <n v="5568"/>
        <n v="5980"/>
        <n v="6768"/>
        <n v="7036"/>
        <n v="7164"/>
        <n v="7224"/>
        <n v="7472"/>
        <n v="7476"/>
        <n v="8041"/>
        <n v="8224"/>
        <n v="8580"/>
        <n v="8889"/>
        <n v="9631"/>
        <n v="10300"/>
        <n v="10528"/>
        <n v="10929"/>
        <n v="11166"/>
        <n v="11268"/>
        <n v="11495"/>
        <n v="11836"/>
        <n v="11924"/>
        <n v="12008"/>
        <n v="12053"/>
        <n v="12256"/>
        <n v="12460"/>
        <n v="12992"/>
        <n v="13212"/>
        <n v="13481"/>
        <n v="13668"/>
        <n v="13693"/>
        <n v="15477"/>
        <n v="15689"/>
        <n v="15728"/>
        <n v="15848"/>
        <n v="15969"/>
        <n v="16078"/>
        <n v="16940"/>
        <n v="17348"/>
        <n v="18624"/>
        <n v="20920"/>
        <n v="30129"/>
        <n v="31182"/>
      </sharedItems>
    </cacheField>
    <cacheField name="n_orig_constrs" numFmtId="0">
      <sharedItems containsSemiMixedTypes="0" containsString="0" containsNumber="1" containsInteger="1" minValue="152" maxValue="54472" count="113">
        <n v="152"/>
        <n v="521"/>
        <n v="542"/>
        <n v="581"/>
        <n v="731"/>
        <n v="827"/>
        <n v="866"/>
        <n v="1111"/>
        <n v="1146"/>
        <n v="1172"/>
        <n v="1176"/>
        <n v="1230"/>
        <n v="1263"/>
        <n v="1284"/>
        <n v="1286"/>
        <n v="1289"/>
        <n v="1460"/>
        <n v="1533"/>
        <n v="1589"/>
        <n v="1619"/>
        <n v="1692"/>
        <n v="1700"/>
        <n v="1852"/>
        <n v="1856"/>
        <n v="1859"/>
        <n v="2067"/>
        <n v="2182"/>
        <n v="2186"/>
        <n v="2363"/>
        <n v="2414"/>
        <n v="2422"/>
        <n v="2503"/>
        <n v="2828"/>
        <n v="2838"/>
        <n v="2856"/>
        <n v="2930"/>
        <n v="2945"/>
        <n v="3088"/>
        <n v="3193"/>
        <n v="3234"/>
        <n v="3382"/>
        <n v="3590"/>
        <n v="3902"/>
        <n v="3937"/>
        <n v="4053"/>
        <n v="4148"/>
        <n v="4151"/>
        <n v="4245"/>
        <n v="4398"/>
        <n v="4407"/>
        <n v="4536"/>
        <n v="4587"/>
        <n v="4624"/>
        <n v="4638"/>
        <n v="5065"/>
        <n v="5161"/>
        <n v="5170"/>
        <n v="5278"/>
        <n v="5381"/>
        <n v="5699"/>
        <n v="6124"/>
        <n v="6481"/>
        <n v="6727"/>
        <n v="7280"/>
        <n v="7474"/>
        <n v="8319"/>
        <n v="8365"/>
        <n v="8488"/>
        <n v="8652"/>
        <n v="8925"/>
        <n v="8985"/>
        <n v="9673"/>
        <n v="10391"/>
        <n v="11737"/>
        <n v="12254"/>
        <n v="12463"/>
        <n v="12583"/>
        <n v="13009"/>
        <n v="13017"/>
        <n v="13982"/>
        <n v="14318"/>
        <n v="14920"/>
        <n v="15334"/>
        <n v="16712"/>
        <n v="17951"/>
        <n v="18317"/>
        <n v="19033"/>
        <n v="19393"/>
        <n v="19630"/>
        <n v="20007"/>
        <n v="20639"/>
        <n v="20793"/>
        <n v="20925"/>
        <n v="21000"/>
        <n v="21374"/>
        <n v="21731"/>
        <n v="22641"/>
        <n v="23032"/>
        <n v="23466"/>
        <n v="23830"/>
        <n v="23870"/>
        <n v="26992"/>
        <n v="27363"/>
        <n v="27384"/>
        <n v="27597"/>
        <n v="27808"/>
        <n v="27998"/>
        <n v="29499"/>
        <n v="30270"/>
        <n v="32503"/>
        <n v="36515"/>
        <n v="52633"/>
        <n v="54472"/>
      </sharedItems>
    </cacheField>
    <cacheField name="root_node_gen" numFmtId="0">
      <sharedItems containsSemiMixedTypes="0" containsString="0" containsNumber="1" containsInteger="1" minValue="1" maxValue="6756" count="10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0"/>
        <n v="31"/>
        <n v="33"/>
        <n v="34"/>
        <n v="35"/>
        <n v="36"/>
        <n v="37"/>
        <n v="39"/>
        <n v="40"/>
        <n v="41"/>
        <n v="42"/>
        <n v="44"/>
        <n v="45"/>
        <n v="47"/>
        <n v="48"/>
        <n v="49"/>
        <n v="50"/>
        <n v="52"/>
        <n v="53"/>
        <n v="54"/>
        <n v="55"/>
        <n v="57"/>
        <n v="60"/>
        <n v="61"/>
        <n v="63"/>
        <n v="65"/>
        <n v="66"/>
        <n v="67"/>
        <n v="70"/>
        <n v="71"/>
        <n v="74"/>
        <n v="76"/>
        <n v="80"/>
        <n v="85"/>
        <n v="87"/>
        <n v="89"/>
        <n v="90"/>
        <n v="92"/>
        <n v="93"/>
        <n v="96"/>
        <n v="98"/>
        <n v="100"/>
        <n v="102"/>
        <n v="103"/>
        <n v="105"/>
        <n v="106"/>
        <n v="111"/>
        <n v="117"/>
        <n v="118"/>
        <n v="119"/>
        <n v="120"/>
        <n v="123"/>
        <n v="126"/>
        <n v="129"/>
        <n v="133"/>
        <n v="137"/>
        <n v="138"/>
        <n v="149"/>
        <n v="150"/>
        <n v="151"/>
        <n v="160"/>
        <n v="169"/>
        <n v="171"/>
        <n v="176"/>
        <n v="180"/>
        <n v="187"/>
        <n v="216"/>
        <n v="222"/>
        <n v="228"/>
        <n v="232"/>
        <n v="262"/>
        <n v="310"/>
        <n v="410"/>
        <n v="565"/>
        <n v="1155"/>
        <n v="3007"/>
        <n v="3618"/>
        <n v="3638"/>
        <n v="4566"/>
        <n v="6756"/>
      </sharedItems>
    </cacheField>
    <cacheField name="farkas_gen" numFmtId="0">
      <sharedItems containsSemiMixedTypes="0" containsString="0" containsNumber="1" containsInteger="1" minValue="0" maxValue="136" count="16">
        <n v="0"/>
        <n v="1"/>
        <n v="2"/>
        <n v="3"/>
        <n v="4"/>
        <n v="5"/>
        <n v="6"/>
        <n v="8"/>
        <n v="11"/>
        <n v="17"/>
        <n v="36"/>
        <n v="43"/>
        <n v="45"/>
        <n v="61"/>
        <n v="75"/>
        <n v="136"/>
      </sharedItems>
    </cacheField>
    <cacheField name="depth" numFmtId="0">
      <sharedItems containsSemiMixedTypes="0" containsString="0" containsNumber="1" containsInteger="1" minValue="0" maxValue="84" count="5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3"/>
        <n v="34"/>
        <n v="36"/>
        <n v="37"/>
        <n v="39"/>
        <n v="42"/>
        <n v="44"/>
        <n v="46"/>
        <n v="47"/>
        <n v="51"/>
        <n v="55"/>
        <n v="57"/>
        <n v="60"/>
        <n v="62"/>
        <n v="68"/>
        <n v="70"/>
        <n v="75"/>
        <n v="76"/>
        <n v="77"/>
        <n v="80"/>
        <n v="81"/>
        <n v="84"/>
      </sharedItems>
    </cacheField>
    <cacheField name="lb_root" numFmtId="0">
      <sharedItems containsSemiMixedTypes="0" containsString="0" containsNumber="1" minValue="-1" maxValue="19.8444" count="191">
        <n v="-1"/>
        <n v="1"/>
        <n v="2.80702"/>
        <n v="3.37143"/>
        <n v="3.46269"/>
        <n v="3.74026"/>
        <n v="3.7551"/>
        <n v="3.78571"/>
        <n v="3.83673"/>
        <n v="3.84416"/>
        <n v="3.9322"/>
        <n v="3.93717"/>
        <n v="3.96396"/>
        <n v="4"/>
        <n v="4.02479"/>
        <n v="4.03125"/>
        <n v="4.04124"/>
        <n v="4.04233"/>
        <n v="4.0479"/>
        <n v="4.05263"/>
        <n v="4.05442"/>
        <n v="4.05517"/>
        <n v="4.05634"/>
        <n v="4.0625"/>
        <n v="4.06349"/>
        <n v="4.06504"/>
        <n v="4.06723"/>
        <n v="4.0678"/>
        <n v="4.06897"/>
        <n v="4.0708"/>
        <n v="4.07143"/>
        <n v="4.07767"/>
        <n v="4.07843"/>
        <n v="4.08163"/>
        <n v="4.08511"/>
        <n v="4.08602"/>
        <n v="4.08791"/>
        <n v="4.09412"/>
        <n v="4.09639"/>
        <n v="4.10127"/>
        <n v="4.10256"/>
        <n v="4.1039"/>
        <n v="4.11268"/>
        <n v="4.11429"/>
        <n v="4.12308"/>
        <n v="4.125"/>
        <n v="4.12903"/>
        <n v="4.13333"/>
        <n v="4.13559"/>
        <n v="4.14035"/>
        <n v="4.14545"/>
        <n v="4.14815"/>
        <n v="4.15385"/>
        <n v="4.16"/>
        <n v="4.17021"/>
        <n v="4.17778"/>
        <n v="4.21622"/>
        <n v="4.22857"/>
        <n v="4.23529"/>
        <n v="4.26667"/>
        <n v="4.28571"/>
        <n v="4.34783"/>
        <n v="4.38095"/>
        <n v="4.5"/>
        <n v="4.6"/>
        <n v="4.88889"/>
        <n v="5"/>
        <n v="5.86207"/>
        <n v="6.55556"/>
        <n v="7.32456"/>
        <n v="7.58571"/>
        <n v="7.79104"/>
        <n v="8.41558"/>
        <n v="8.44898"/>
        <n v="8.45652"/>
        <n v="8.63265"/>
        <n v="8.64935"/>
        <n v="8.84746"/>
        <n v="8.85864"/>
        <n v="8.89474"/>
        <n v="8.91892"/>
        <n v="9"/>
        <n v="9.08333"/>
        <n v="9.09278"/>
        <n v="9.09302"/>
        <n v="9.09524"/>
        <n v="9.10778"/>
        <n v="9.11842"/>
        <n v="9.12245"/>
        <n v="9.12414"/>
        <n v="9.12676"/>
        <n v="9.14286"/>
        <n v="9.14634"/>
        <n v="9.15126"/>
        <n v="9.15254"/>
        <n v="9.15517"/>
        <n v="9.15929"/>
        <n v="9.16071"/>
        <n v="9.17476"/>
        <n v="9.17647"/>
        <n v="9.18367"/>
        <n v="9.19149"/>
        <n v="9.19355"/>
        <n v="9.1978"/>
        <n v="9.21176"/>
        <n v="9.21687"/>
        <n v="9.23077"/>
        <n v="9.23377"/>
        <n v="9.25352"/>
        <n v="9.25714"/>
        <n v="9.27692"/>
        <n v="9.28125"/>
        <n v="9.3"/>
        <n v="9.31579"/>
        <n v="9.32727"/>
        <n v="9.33333"/>
        <n v="9.36"/>
        <n v="9.38298"/>
        <n v="9.4"/>
        <n v="9.48649"/>
        <n v="9.51429"/>
        <n v="9.64286"/>
        <n v="9.85714"/>
        <n v="10.5172"/>
        <n v="11.1111"/>
        <n v="11.8421"/>
        <n v="13.1429"/>
        <n v="13.7627"/>
        <n v="13.7801"/>
        <n v="13.8739"/>
        <n v="14"/>
        <n v="14.1354"/>
        <n v="14.1481"/>
        <n v="14.1842"/>
        <n v="14.1905"/>
        <n v="14.2093"/>
        <n v="14.2222"/>
        <n v="14.2276"/>
        <n v="14.2373"/>
        <n v="14.2414"/>
        <n v="14.2478"/>
        <n v="14.25"/>
        <n v="14.2718"/>
        <n v="14.2745"/>
        <n v="14.2857"/>
        <n v="14.3011"/>
        <n v="14.3077"/>
        <n v="14.3294"/>
        <n v="14.3373"/>
        <n v="14.359"/>
        <n v="14.3636"/>
        <n v="14.4"/>
        <n v="14.4308"/>
        <n v="14.4667"/>
        <n v="14.4912"/>
        <n v="14.5185"/>
        <n v="14.56"/>
        <n v="14.5957"/>
        <n v="14.6222"/>
        <n v="14.7568"/>
        <n v="14.8"/>
        <n v="15.1724"/>
        <n v="15.6667"/>
        <n v="16.3596"/>
        <n v="18.7016"/>
        <n v="18.75"/>
        <n v="18.8288"/>
        <n v="19"/>
        <n v="19.1538"/>
        <n v="19.2011"/>
        <n v="19.25"/>
        <n v="19.2585"/>
        <n v="19.3089"/>
        <n v="19.322"/>
        <n v="19.3256"/>
        <n v="19.3276"/>
        <n v="19.3363"/>
        <n v="19.3393"/>
        <n v="19.3689"/>
        <n v="19.3725"/>
        <n v="19.3878"/>
        <n v="19.4086"/>
        <n v="19.4176"/>
        <n v="19.4578"/>
        <n v="19.4872"/>
        <n v="19.4935"/>
        <n v="19.5429"/>
        <n v="19.5846"/>
        <n v="19.7037"/>
        <n v="19.76"/>
        <n v="19.8444"/>
      </sharedItems>
    </cacheField>
    <cacheField name="ub_root" numFmtId="0">
      <sharedItems containsSemiMixedTypes="0" containsString="0" containsNumber="1" containsInteger="1" minValue="-1" maxValue="1E+020" count="117">
        <n v="-1"/>
        <n v="2"/>
        <n v="4"/>
        <n v="5"/>
        <n v="6"/>
        <n v="7"/>
        <n v="8"/>
        <n v="10"/>
        <n v="11"/>
        <n v="12"/>
        <n v="13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1"/>
        <n v="42"/>
        <n v="43"/>
        <n v="44"/>
        <n v="45"/>
        <n v="46"/>
        <n v="48"/>
        <n v="49"/>
        <n v="50"/>
        <n v="51"/>
        <n v="52"/>
        <n v="53"/>
        <n v="54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8"/>
        <n v="79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6"/>
        <n v="98"/>
        <n v="99"/>
        <n v="100"/>
        <n v="102"/>
        <n v="103"/>
        <n v="104"/>
        <n v="106"/>
        <n v="107"/>
        <n v="108"/>
        <n v="109"/>
        <n v="112"/>
        <n v="113"/>
        <n v="115"/>
        <n v="116"/>
        <n v="119"/>
        <n v="120"/>
        <n v="123"/>
        <n v="130"/>
        <n v="131"/>
        <n v="134"/>
        <n v="136"/>
        <n v="141"/>
        <n v="145"/>
        <n v="152"/>
        <n v="153"/>
        <n v="157"/>
        <n v="159"/>
        <n v="183"/>
        <n v="184"/>
        <n v="1E+020"/>
      </sharedItems>
    </cacheField>
    <cacheField name="opt?2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3">
  <r>
    <x v="0"/>
    <x v="0"/>
    <x v="0"/>
    <x v="3"/>
    <x v="4"/>
    <x v="9"/>
    <x v="6"/>
    <x v="1"/>
    <x v="23"/>
    <x v="1"/>
    <x v="19"/>
    <x v="1"/>
    <x v="12"/>
    <x v="1"/>
    <x v="0"/>
    <x v="0"/>
    <x v="0"/>
    <x v="0"/>
    <x v="0"/>
    <x v="3"/>
    <x v="4"/>
    <x v="0"/>
    <x v="7"/>
    <x v="58"/>
    <x v="70"/>
    <x v="86"/>
    <x v="67"/>
    <x v="11"/>
    <x v="4"/>
    <x v="4"/>
    <x v="4"/>
    <x v="0"/>
    <x v="7"/>
    <x v="60"/>
    <x v="7"/>
    <x v="1"/>
  </r>
  <r>
    <x v="0"/>
    <x v="0"/>
    <x v="1"/>
    <x v="31"/>
    <x v="44"/>
    <x v="37"/>
    <x v="8"/>
    <x v="1"/>
    <x v="100"/>
    <x v="1"/>
    <x v="166"/>
    <x v="0"/>
    <x v="101"/>
    <x v="1"/>
    <x v="0"/>
    <x v="0"/>
    <x v="0"/>
    <x v="0"/>
    <x v="1"/>
    <x v="31"/>
    <x v="44"/>
    <x v="1"/>
    <x v="36"/>
    <x v="17"/>
    <x v="128"/>
    <x v="211"/>
    <x v="306"/>
    <x v="2"/>
    <x v="47"/>
    <x v="47"/>
    <x v="9"/>
    <x v="0"/>
    <x v="1"/>
    <x v="36"/>
    <x v="38"/>
    <x v="0"/>
  </r>
  <r>
    <x v="0"/>
    <x v="0"/>
    <x v="2"/>
    <x v="20"/>
    <x v="19"/>
    <x v="26"/>
    <x v="6"/>
    <x v="1"/>
    <x v="87"/>
    <x v="1"/>
    <x v="144"/>
    <x v="1"/>
    <x v="67"/>
    <x v="1"/>
    <x v="0"/>
    <x v="0"/>
    <x v="0"/>
    <x v="0"/>
    <x v="2"/>
    <x v="20"/>
    <x v="19"/>
    <x v="0"/>
    <x v="7"/>
    <x v="58"/>
    <x v="78"/>
    <x v="87"/>
    <x v="69"/>
    <x v="15"/>
    <x v="21"/>
    <x v="20"/>
    <x v="2"/>
    <x v="0"/>
    <x v="8"/>
    <x v="44"/>
    <x v="23"/>
    <x v="1"/>
  </r>
  <r>
    <x v="0"/>
    <x v="0"/>
    <x v="3"/>
    <x v="11"/>
    <x v="15"/>
    <x v="20"/>
    <x v="7"/>
    <x v="1"/>
    <x v="65"/>
    <x v="1"/>
    <x v="130"/>
    <x v="1"/>
    <x v="90"/>
    <x v="1"/>
    <x v="0"/>
    <x v="0"/>
    <x v="0"/>
    <x v="0"/>
    <x v="3"/>
    <x v="11"/>
    <x v="15"/>
    <x v="0"/>
    <x v="8"/>
    <x v="65"/>
    <x v="120"/>
    <x v="208"/>
    <x v="232"/>
    <x v="25"/>
    <x v="17"/>
    <x v="16"/>
    <x v="0"/>
    <x v="0"/>
    <x v="10"/>
    <x v="53"/>
    <x v="26"/>
    <x v="1"/>
  </r>
  <r>
    <x v="0"/>
    <x v="0"/>
    <x v="4"/>
    <x v="7"/>
    <x v="2"/>
    <x v="13"/>
    <x v="5"/>
    <x v="1"/>
    <x v="40"/>
    <x v="1"/>
    <x v="28"/>
    <x v="1"/>
    <x v="26"/>
    <x v="1"/>
    <x v="0"/>
    <x v="0"/>
    <x v="0"/>
    <x v="0"/>
    <x v="4"/>
    <x v="7"/>
    <x v="2"/>
    <x v="0"/>
    <x v="6"/>
    <x v="49"/>
    <x v="33"/>
    <x v="46"/>
    <x v="12"/>
    <x v="18"/>
    <x v="2"/>
    <x v="2"/>
    <x v="2"/>
    <x v="0"/>
    <x v="7"/>
    <x v="57"/>
    <x v="15"/>
    <x v="1"/>
  </r>
  <r>
    <x v="0"/>
    <x v="0"/>
    <x v="5"/>
    <x v="51"/>
    <x v="41"/>
    <x v="43"/>
    <x v="6"/>
    <x v="1"/>
    <x v="127"/>
    <x v="1"/>
    <x v="166"/>
    <x v="0"/>
    <x v="134"/>
    <x v="1"/>
    <x v="0"/>
    <x v="0"/>
    <x v="0"/>
    <x v="0"/>
    <x v="5"/>
    <x v="51"/>
    <x v="41"/>
    <x v="1"/>
    <x v="14"/>
    <x v="42"/>
    <x v="145"/>
    <x v="256"/>
    <x v="250"/>
    <x v="8"/>
    <x v="43"/>
    <x v="43"/>
    <x v="8"/>
    <x v="0"/>
    <x v="4"/>
    <x v="20"/>
    <x v="32"/>
    <x v="0"/>
  </r>
  <r>
    <x v="0"/>
    <x v="0"/>
    <x v="6"/>
    <x v="26"/>
    <x v="30"/>
    <x v="31"/>
    <x v="8"/>
    <x v="1"/>
    <x v="92"/>
    <x v="1"/>
    <x v="166"/>
    <x v="0"/>
    <x v="124"/>
    <x v="1"/>
    <x v="0"/>
    <x v="0"/>
    <x v="0"/>
    <x v="0"/>
    <x v="6"/>
    <x v="26"/>
    <x v="30"/>
    <x v="1"/>
    <x v="31"/>
    <x v="22"/>
    <x v="130"/>
    <x v="259"/>
    <x v="293"/>
    <x v="3"/>
    <x v="32"/>
    <x v="31"/>
    <x v="11"/>
    <x v="0"/>
    <x v="2"/>
    <x v="40"/>
    <x v="33"/>
    <x v="0"/>
  </r>
  <r>
    <x v="0"/>
    <x v="0"/>
    <x v="7"/>
    <x v="13"/>
    <x v="5"/>
    <x v="21"/>
    <x v="5"/>
    <x v="1"/>
    <x v="77"/>
    <x v="1"/>
    <x v="52"/>
    <x v="1"/>
    <x v="37"/>
    <x v="1"/>
    <x v="0"/>
    <x v="0"/>
    <x v="0"/>
    <x v="0"/>
    <x v="7"/>
    <x v="13"/>
    <x v="5"/>
    <x v="0"/>
    <x v="6"/>
    <x v="49"/>
    <x v="66"/>
    <x v="81"/>
    <x v="43"/>
    <x v="11"/>
    <x v="5"/>
    <x v="5"/>
    <x v="0"/>
    <x v="0"/>
    <x v="7"/>
    <x v="51"/>
    <x v="18"/>
    <x v="1"/>
  </r>
  <r>
    <x v="0"/>
    <x v="0"/>
    <x v="8"/>
    <x v="38"/>
    <x v="41"/>
    <x v="41"/>
    <x v="8"/>
    <x v="1"/>
    <x v="104"/>
    <x v="1"/>
    <x v="166"/>
    <x v="0"/>
    <x v="158"/>
    <x v="1"/>
    <x v="0"/>
    <x v="0"/>
    <x v="0"/>
    <x v="0"/>
    <x v="8"/>
    <x v="38"/>
    <x v="41"/>
    <x v="1"/>
    <x v="17"/>
    <x v="20"/>
    <x v="129"/>
    <x v="242"/>
    <x v="288"/>
    <x v="5"/>
    <x v="42"/>
    <x v="42"/>
    <x v="3"/>
    <x v="0"/>
    <x v="3"/>
    <x v="30"/>
    <x v="52"/>
    <x v="0"/>
  </r>
  <r>
    <x v="0"/>
    <x v="0"/>
    <x v="9"/>
    <x v="25"/>
    <x v="8"/>
    <x v="33"/>
    <x v="5"/>
    <x v="1"/>
    <x v="96"/>
    <x v="1"/>
    <x v="95"/>
    <x v="1"/>
    <x v="56"/>
    <x v="1"/>
    <x v="0"/>
    <x v="0"/>
    <x v="0"/>
    <x v="0"/>
    <x v="9"/>
    <x v="25"/>
    <x v="8"/>
    <x v="0"/>
    <x v="6"/>
    <x v="49"/>
    <x v="101"/>
    <x v="113"/>
    <x v="88"/>
    <x v="31"/>
    <x v="10"/>
    <x v="9"/>
    <x v="6"/>
    <x v="0"/>
    <x v="14"/>
    <x v="41"/>
    <x v="21"/>
    <x v="1"/>
  </r>
  <r>
    <x v="0"/>
    <x v="0"/>
    <x v="10"/>
    <x v="52"/>
    <x v="56"/>
    <x v="42"/>
    <x v="8"/>
    <x v="1"/>
    <x v="130"/>
    <x v="1"/>
    <x v="166"/>
    <x v="0"/>
    <x v="159"/>
    <x v="1"/>
    <x v="0"/>
    <x v="0"/>
    <x v="0"/>
    <x v="0"/>
    <x v="10"/>
    <x v="52"/>
    <x v="56"/>
    <x v="1"/>
    <x v="70"/>
    <x v="11"/>
    <x v="128"/>
    <x v="181"/>
    <x v="211"/>
    <x v="6"/>
    <x v="59"/>
    <x v="59"/>
    <x v="11"/>
    <x v="0"/>
    <x v="5"/>
    <x v="19"/>
    <x v="76"/>
    <x v="0"/>
  </r>
  <r>
    <x v="0"/>
    <x v="1"/>
    <x v="11"/>
    <x v="37"/>
    <x v="36"/>
    <x v="40"/>
    <x v="1"/>
    <x v="1"/>
    <x v="46"/>
    <x v="1"/>
    <x v="163"/>
    <x v="1"/>
    <x v="1"/>
    <x v="1"/>
    <x v="0"/>
    <x v="0"/>
    <x v="0"/>
    <x v="0"/>
    <x v="11"/>
    <x v="37"/>
    <x v="36"/>
    <x v="0"/>
    <x v="2"/>
    <x v="2"/>
    <x v="34"/>
    <x v="41"/>
    <x v="56"/>
    <x v="0"/>
    <x v="37"/>
    <x v="37"/>
    <x v="58"/>
    <x v="0"/>
    <x v="0"/>
    <x v="0"/>
    <x v="0"/>
    <x v="1"/>
  </r>
  <r>
    <x v="0"/>
    <x v="0"/>
    <x v="12"/>
    <x v="48"/>
    <x v="40"/>
    <x v="44"/>
    <x v="0"/>
    <x v="1"/>
    <x v="19"/>
    <x v="1"/>
    <x v="124"/>
    <x v="1"/>
    <x v="0"/>
    <x v="1"/>
    <x v="0"/>
    <x v="0"/>
    <x v="0"/>
    <x v="0"/>
    <x v="12"/>
    <x v="48"/>
    <x v="40"/>
    <x v="1"/>
    <x v="109"/>
    <x v="1"/>
    <x v="126"/>
    <x v="101"/>
    <x v="102"/>
    <x v="0"/>
    <x v="41"/>
    <x v="41"/>
    <x v="103"/>
    <x v="0"/>
    <x v="0"/>
    <x v="0"/>
    <x v="0"/>
    <x v="0"/>
  </r>
  <r>
    <x v="0"/>
    <x v="2"/>
    <x v="13"/>
    <x v="45"/>
    <x v="109"/>
    <x v="1"/>
    <x v="50"/>
    <x v="1"/>
    <x v="6"/>
    <x v="1"/>
    <x v="166"/>
    <x v="0"/>
    <x v="123"/>
    <x v="1"/>
    <x v="0"/>
    <x v="0"/>
    <x v="0"/>
    <x v="0"/>
    <x v="13"/>
    <x v="45"/>
    <x v="109"/>
    <x v="1"/>
    <x v="69"/>
    <x v="33"/>
    <x v="127"/>
    <x v="225"/>
    <x v="200"/>
    <x v="9"/>
    <x v="112"/>
    <x v="112"/>
    <x v="2"/>
    <x v="0"/>
    <x v="8"/>
    <x v="23"/>
    <x v="103"/>
    <x v="0"/>
  </r>
  <r>
    <x v="0"/>
    <x v="2"/>
    <x v="14"/>
    <x v="28"/>
    <x v="18"/>
    <x v="23"/>
    <x v="6"/>
    <x v="1"/>
    <x v="102"/>
    <x v="1"/>
    <x v="82"/>
    <x v="1"/>
    <x v="129"/>
    <x v="1"/>
    <x v="0"/>
    <x v="0"/>
    <x v="0"/>
    <x v="0"/>
    <x v="14"/>
    <x v="28"/>
    <x v="18"/>
    <x v="0"/>
    <x v="7"/>
    <x v="58"/>
    <x v="114"/>
    <x v="184"/>
    <x v="126"/>
    <x v="54"/>
    <x v="19"/>
    <x v="19"/>
    <x v="38"/>
    <x v="0"/>
    <x v="10"/>
    <x v="38"/>
    <x v="27"/>
    <x v="1"/>
  </r>
  <r>
    <x v="0"/>
    <x v="2"/>
    <x v="15"/>
    <x v="35"/>
    <x v="28"/>
    <x v="24"/>
    <x v="7"/>
    <x v="1"/>
    <x v="120"/>
    <x v="1"/>
    <x v="77"/>
    <x v="1"/>
    <x v="152"/>
    <x v="1"/>
    <x v="0"/>
    <x v="0"/>
    <x v="0"/>
    <x v="0"/>
    <x v="15"/>
    <x v="35"/>
    <x v="28"/>
    <x v="1"/>
    <x v="8"/>
    <x v="43"/>
    <x v="128"/>
    <x v="306"/>
    <x v="247"/>
    <x v="68"/>
    <x v="31"/>
    <x v="30"/>
    <x v="53"/>
    <x v="0"/>
    <x v="15"/>
    <x v="32"/>
    <x v="51"/>
    <x v="0"/>
  </r>
  <r>
    <x v="0"/>
    <x v="2"/>
    <x v="16"/>
    <x v="28"/>
    <x v="46"/>
    <x v="9"/>
    <x v="21"/>
    <x v="1"/>
    <x v="124"/>
    <x v="1"/>
    <x v="166"/>
    <x v="0"/>
    <x v="161"/>
    <x v="0"/>
    <x v="0"/>
    <x v="0"/>
    <x v="0"/>
    <x v="0"/>
    <x v="16"/>
    <x v="28"/>
    <x v="46"/>
    <x v="1"/>
    <x v="60"/>
    <x v="42"/>
    <x v="152"/>
    <x v="286"/>
    <x v="281"/>
    <x v="10"/>
    <x v="48"/>
    <x v="48"/>
    <x v="12"/>
    <x v="0"/>
    <x v="5"/>
    <x v="38"/>
    <x v="67"/>
    <x v="0"/>
  </r>
  <r>
    <x v="0"/>
    <x v="2"/>
    <x v="17"/>
    <x v="8"/>
    <x v="6"/>
    <x v="8"/>
    <x v="6"/>
    <x v="1"/>
    <x v="43"/>
    <x v="1"/>
    <x v="27"/>
    <x v="1"/>
    <x v="21"/>
    <x v="1"/>
    <x v="0"/>
    <x v="0"/>
    <x v="0"/>
    <x v="0"/>
    <x v="17"/>
    <x v="8"/>
    <x v="6"/>
    <x v="0"/>
    <x v="7"/>
    <x v="58"/>
    <x v="72"/>
    <x v="89"/>
    <x v="73"/>
    <x v="53"/>
    <x v="6"/>
    <x v="6"/>
    <x v="27"/>
    <x v="0"/>
    <x v="12"/>
    <x v="56"/>
    <x v="14"/>
    <x v="1"/>
  </r>
  <r>
    <x v="0"/>
    <x v="2"/>
    <x v="18"/>
    <x v="10"/>
    <x v="13"/>
    <x v="11"/>
    <x v="6"/>
    <x v="1"/>
    <x v="59"/>
    <x v="1"/>
    <x v="47"/>
    <x v="1"/>
    <x v="49"/>
    <x v="1"/>
    <x v="0"/>
    <x v="0"/>
    <x v="0"/>
    <x v="0"/>
    <x v="18"/>
    <x v="10"/>
    <x v="13"/>
    <x v="0"/>
    <x v="7"/>
    <x v="58"/>
    <x v="64"/>
    <x v="67"/>
    <x v="61"/>
    <x v="14"/>
    <x v="15"/>
    <x v="15"/>
    <x v="13"/>
    <x v="0"/>
    <x v="5"/>
    <x v="54"/>
    <x v="16"/>
    <x v="1"/>
  </r>
  <r>
    <x v="0"/>
    <x v="2"/>
    <x v="19"/>
    <x v="40"/>
    <x v="43"/>
    <x v="26"/>
    <x v="9"/>
    <x v="1"/>
    <x v="116"/>
    <x v="1"/>
    <x v="146"/>
    <x v="1"/>
    <x v="161"/>
    <x v="0"/>
    <x v="0"/>
    <x v="0"/>
    <x v="0"/>
    <x v="0"/>
    <x v="19"/>
    <x v="40"/>
    <x v="43"/>
    <x v="1"/>
    <x v="67"/>
    <x v="23"/>
    <x v="135"/>
    <x v="165"/>
    <x v="195"/>
    <x v="5"/>
    <x v="46"/>
    <x v="46"/>
    <x v="49"/>
    <x v="0"/>
    <x v="4"/>
    <x v="28"/>
    <x v="73"/>
    <x v="0"/>
  </r>
  <r>
    <x v="0"/>
    <x v="2"/>
    <x v="20"/>
    <x v="17"/>
    <x v="48"/>
    <x v="3"/>
    <x v="21"/>
    <x v="1"/>
    <x v="51"/>
    <x v="1"/>
    <x v="145"/>
    <x v="1"/>
    <x v="161"/>
    <x v="0"/>
    <x v="0"/>
    <x v="0"/>
    <x v="0"/>
    <x v="0"/>
    <x v="20"/>
    <x v="17"/>
    <x v="48"/>
    <x v="1"/>
    <x v="23"/>
    <x v="55"/>
    <x v="150"/>
    <x v="275"/>
    <x v="273"/>
    <x v="69"/>
    <x v="50"/>
    <x v="50"/>
    <x v="3"/>
    <x v="0"/>
    <x v="22"/>
    <x v="47"/>
    <x v="46"/>
    <x v="0"/>
  </r>
  <r>
    <x v="0"/>
    <x v="2"/>
    <x v="21"/>
    <x v="49"/>
    <x v="70"/>
    <x v="7"/>
    <x v="57"/>
    <x v="0"/>
    <x v="158"/>
    <x v="0"/>
    <x v="166"/>
    <x v="0"/>
    <x v="161"/>
    <x v="0"/>
    <x v="0"/>
    <x v="0"/>
    <x v="0"/>
    <x v="0"/>
    <x v="21"/>
    <x v="49"/>
    <x v="70"/>
    <x v="1"/>
    <x v="97"/>
    <x v="24"/>
    <x v="126"/>
    <x v="248"/>
    <x v="194"/>
    <x v="3"/>
    <x v="73"/>
    <x v="73"/>
    <x v="11"/>
    <x v="0"/>
    <x v="2"/>
    <x v="22"/>
    <x v="104"/>
    <x v="0"/>
  </r>
  <r>
    <x v="0"/>
    <x v="2"/>
    <x v="22"/>
    <x v="16"/>
    <x v="57"/>
    <x v="1"/>
    <x v="35"/>
    <x v="1"/>
    <x v="41"/>
    <x v="1"/>
    <x v="40"/>
    <x v="1"/>
    <x v="54"/>
    <x v="1"/>
    <x v="0"/>
    <x v="10"/>
    <x v="0"/>
    <x v="0"/>
    <x v="22"/>
    <x v="16"/>
    <x v="57"/>
    <x v="1"/>
    <x v="109"/>
    <x v="38"/>
    <x v="127"/>
    <x v="139"/>
    <x v="215"/>
    <x v="27"/>
    <x v="60"/>
    <x v="60"/>
    <x v="6"/>
    <x v="0"/>
    <x v="25"/>
    <x v="48"/>
    <x v="116"/>
    <x v="0"/>
  </r>
  <r>
    <x v="0"/>
    <x v="2"/>
    <x v="23"/>
    <x v="17"/>
    <x v="17"/>
    <x v="13"/>
    <x v="6"/>
    <x v="1"/>
    <x v="82"/>
    <x v="1"/>
    <x v="57"/>
    <x v="1"/>
    <x v="100"/>
    <x v="1"/>
    <x v="0"/>
    <x v="0"/>
    <x v="0"/>
    <x v="0"/>
    <x v="23"/>
    <x v="17"/>
    <x v="17"/>
    <x v="0"/>
    <x v="7"/>
    <x v="58"/>
    <x v="90"/>
    <x v="103"/>
    <x v="89"/>
    <x v="33"/>
    <x v="18"/>
    <x v="17"/>
    <x v="21"/>
    <x v="0"/>
    <x v="8"/>
    <x v="47"/>
    <x v="31"/>
    <x v="1"/>
  </r>
  <r>
    <x v="0"/>
    <x v="2"/>
    <x v="24"/>
    <x v="22"/>
    <x v="50"/>
    <x v="8"/>
    <x v="27"/>
    <x v="1"/>
    <x v="114"/>
    <x v="1"/>
    <x v="166"/>
    <x v="0"/>
    <x v="161"/>
    <x v="0"/>
    <x v="0"/>
    <x v="0"/>
    <x v="0"/>
    <x v="0"/>
    <x v="24"/>
    <x v="22"/>
    <x v="50"/>
    <x v="1"/>
    <x v="45"/>
    <x v="57"/>
    <x v="134"/>
    <x v="285"/>
    <x v="286"/>
    <x v="48"/>
    <x v="52"/>
    <x v="53"/>
    <x v="1"/>
    <x v="0"/>
    <x v="28"/>
    <x v="42"/>
    <x v="49"/>
    <x v="0"/>
  </r>
  <r>
    <x v="0"/>
    <x v="2"/>
    <x v="25"/>
    <x v="33"/>
    <x v="58"/>
    <x v="5"/>
    <x v="57"/>
    <x v="0"/>
    <x v="158"/>
    <x v="0"/>
    <x v="166"/>
    <x v="0"/>
    <x v="161"/>
    <x v="0"/>
    <x v="0"/>
    <x v="0"/>
    <x v="0"/>
    <x v="0"/>
    <x v="25"/>
    <x v="33"/>
    <x v="58"/>
    <x v="1"/>
    <x v="65"/>
    <x v="40"/>
    <x v="126"/>
    <x v="218"/>
    <x v="231"/>
    <x v="5"/>
    <x v="61"/>
    <x v="61"/>
    <x v="15"/>
    <x v="0"/>
    <x v="3"/>
    <x v="34"/>
    <x v="71"/>
    <x v="0"/>
  </r>
  <r>
    <x v="0"/>
    <x v="1"/>
    <x v="26"/>
    <x v="61"/>
    <x v="79"/>
    <x v="49"/>
    <x v="0"/>
    <x v="1"/>
    <x v="57"/>
    <x v="1"/>
    <x v="166"/>
    <x v="0"/>
    <x v="2"/>
    <x v="1"/>
    <x v="0"/>
    <x v="0"/>
    <x v="0"/>
    <x v="0"/>
    <x v="26"/>
    <x v="61"/>
    <x v="79"/>
    <x v="1"/>
    <x v="109"/>
    <x v="1"/>
    <x v="148"/>
    <x v="119"/>
    <x v="149"/>
    <x v="0"/>
    <x v="82"/>
    <x v="82"/>
    <x v="104"/>
    <x v="0"/>
    <x v="0"/>
    <x v="0"/>
    <x v="0"/>
    <x v="0"/>
  </r>
  <r>
    <x v="0"/>
    <x v="1"/>
    <x v="27"/>
    <x v="8"/>
    <x v="12"/>
    <x v="12"/>
    <x v="6"/>
    <x v="1"/>
    <x v="24"/>
    <x v="1"/>
    <x v="17"/>
    <x v="1"/>
    <x v="14"/>
    <x v="1"/>
    <x v="0"/>
    <x v="1"/>
    <x v="0"/>
    <x v="0"/>
    <x v="27"/>
    <x v="8"/>
    <x v="12"/>
    <x v="0"/>
    <x v="7"/>
    <x v="58"/>
    <x v="29"/>
    <x v="28"/>
    <x v="14"/>
    <x v="8"/>
    <x v="11"/>
    <x v="11"/>
    <x v="1"/>
    <x v="0"/>
    <x v="6"/>
    <x v="56"/>
    <x v="16"/>
    <x v="1"/>
  </r>
  <r>
    <x v="0"/>
    <x v="2"/>
    <x v="28"/>
    <x v="12"/>
    <x v="29"/>
    <x v="4"/>
    <x v="15"/>
    <x v="1"/>
    <x v="80"/>
    <x v="1"/>
    <x v="121"/>
    <x v="1"/>
    <x v="151"/>
    <x v="1"/>
    <x v="0"/>
    <x v="0"/>
    <x v="0"/>
    <x v="0"/>
    <x v="28"/>
    <x v="12"/>
    <x v="29"/>
    <x v="1"/>
    <x v="18"/>
    <x v="66"/>
    <x v="141"/>
    <x v="303"/>
    <x v="298"/>
    <x v="83"/>
    <x v="30"/>
    <x v="29"/>
    <x v="12"/>
    <x v="0"/>
    <x v="20"/>
    <x v="52"/>
    <x v="35"/>
    <x v="0"/>
  </r>
  <r>
    <x v="0"/>
    <x v="0"/>
    <x v="29"/>
    <x v="29"/>
    <x v="34"/>
    <x v="30"/>
    <x v="58"/>
    <x v="1"/>
    <x v="157"/>
    <x v="1"/>
    <x v="165"/>
    <x v="1"/>
    <x v="160"/>
    <x v="1"/>
    <x v="0"/>
    <x v="1"/>
    <x v="0"/>
    <x v="0"/>
    <x v="29"/>
    <x v="29"/>
    <x v="34"/>
    <x v="0"/>
    <x v="1"/>
    <x v="1"/>
    <x v="41"/>
    <x v="39"/>
    <x v="64"/>
    <x v="0"/>
    <x v="36"/>
    <x v="35"/>
    <x v="94"/>
    <x v="0"/>
    <x v="0"/>
    <x v="0"/>
    <x v="0"/>
    <x v="1"/>
  </r>
  <r>
    <x v="0"/>
    <x v="1"/>
    <x v="30"/>
    <x v="17"/>
    <x v="9"/>
    <x v="22"/>
    <x v="1"/>
    <x v="1"/>
    <x v="10"/>
    <x v="1"/>
    <x v="41"/>
    <x v="1"/>
    <x v="0"/>
    <x v="1"/>
    <x v="0"/>
    <x v="0"/>
    <x v="0"/>
    <x v="0"/>
    <x v="30"/>
    <x v="17"/>
    <x v="9"/>
    <x v="0"/>
    <x v="2"/>
    <x v="2"/>
    <x v="10"/>
    <x v="13"/>
    <x v="11"/>
    <x v="0"/>
    <x v="9"/>
    <x v="10"/>
    <x v="29"/>
    <x v="0"/>
    <x v="0"/>
    <x v="0"/>
    <x v="0"/>
    <x v="1"/>
  </r>
  <r>
    <x v="0"/>
    <x v="0"/>
    <x v="31"/>
    <x v="43"/>
    <x v="54"/>
    <x v="28"/>
    <x v="57"/>
    <x v="0"/>
    <x v="158"/>
    <x v="0"/>
    <x v="166"/>
    <x v="0"/>
    <x v="161"/>
    <x v="0"/>
    <x v="0"/>
    <x v="0"/>
    <x v="0"/>
    <x v="0"/>
    <x v="31"/>
    <x v="43"/>
    <x v="54"/>
    <x v="1"/>
    <x v="57"/>
    <x v="56"/>
    <x v="141"/>
    <x v="266"/>
    <x v="261"/>
    <x v="31"/>
    <x v="57"/>
    <x v="57"/>
    <x v="0"/>
    <x v="0"/>
    <x v="7"/>
    <x v="25"/>
    <x v="78"/>
    <x v="0"/>
  </r>
  <r>
    <x v="0"/>
    <x v="0"/>
    <x v="32"/>
    <x v="43"/>
    <x v="100"/>
    <x v="5"/>
    <x v="57"/>
    <x v="0"/>
    <x v="158"/>
    <x v="0"/>
    <x v="166"/>
    <x v="0"/>
    <x v="161"/>
    <x v="0"/>
    <x v="0"/>
    <x v="0"/>
    <x v="0"/>
    <x v="0"/>
    <x v="32"/>
    <x v="43"/>
    <x v="100"/>
    <x v="1"/>
    <x v="95"/>
    <x v="14"/>
    <x v="132"/>
    <x v="177"/>
    <x v="186"/>
    <x v="2"/>
    <x v="102"/>
    <x v="102"/>
    <x v="2"/>
    <x v="0"/>
    <x v="1"/>
    <x v="25"/>
    <x v="101"/>
    <x v="0"/>
  </r>
  <r>
    <x v="0"/>
    <x v="2"/>
    <x v="33"/>
    <x v="15"/>
    <x v="23"/>
    <x v="10"/>
    <x v="9"/>
    <x v="1"/>
    <x v="89"/>
    <x v="1"/>
    <x v="60"/>
    <x v="1"/>
    <x v="114"/>
    <x v="1"/>
    <x v="0"/>
    <x v="0"/>
    <x v="0"/>
    <x v="0"/>
    <x v="33"/>
    <x v="15"/>
    <x v="23"/>
    <x v="1"/>
    <x v="12"/>
    <x v="62"/>
    <x v="140"/>
    <x v="320"/>
    <x v="283"/>
    <x v="75"/>
    <x v="22"/>
    <x v="22"/>
    <x v="12"/>
    <x v="0"/>
    <x v="11"/>
    <x v="49"/>
    <x v="40"/>
    <x v="0"/>
  </r>
  <r>
    <x v="0"/>
    <x v="2"/>
    <x v="34"/>
    <x v="19"/>
    <x v="22"/>
    <x v="8"/>
    <x v="14"/>
    <x v="1"/>
    <x v="140"/>
    <x v="1"/>
    <x v="166"/>
    <x v="0"/>
    <x v="161"/>
    <x v="0"/>
    <x v="0"/>
    <x v="0"/>
    <x v="0"/>
    <x v="0"/>
    <x v="34"/>
    <x v="19"/>
    <x v="22"/>
    <x v="1"/>
    <x v="16"/>
    <x v="59"/>
    <x v="148"/>
    <x v="318"/>
    <x v="276"/>
    <x v="98"/>
    <x v="23"/>
    <x v="22"/>
    <x v="22"/>
    <x v="0"/>
    <x v="21"/>
    <x v="45"/>
    <x v="43"/>
    <x v="0"/>
  </r>
  <r>
    <x v="0"/>
    <x v="2"/>
    <x v="35"/>
    <x v="21"/>
    <x v="12"/>
    <x v="19"/>
    <x v="6"/>
    <x v="1"/>
    <x v="103"/>
    <x v="1"/>
    <x v="72"/>
    <x v="1"/>
    <x v="83"/>
    <x v="1"/>
    <x v="0"/>
    <x v="0"/>
    <x v="0"/>
    <x v="0"/>
    <x v="35"/>
    <x v="21"/>
    <x v="12"/>
    <x v="0"/>
    <x v="7"/>
    <x v="58"/>
    <x v="100"/>
    <x v="111"/>
    <x v="87"/>
    <x v="49"/>
    <x v="14"/>
    <x v="12"/>
    <x v="60"/>
    <x v="0"/>
    <x v="14"/>
    <x v="43"/>
    <x v="18"/>
    <x v="1"/>
  </r>
  <r>
    <x v="0"/>
    <x v="2"/>
    <x v="36"/>
    <x v="29"/>
    <x v="52"/>
    <x v="11"/>
    <x v="10"/>
    <x v="1"/>
    <x v="99"/>
    <x v="1"/>
    <x v="102"/>
    <x v="1"/>
    <x v="113"/>
    <x v="1"/>
    <x v="0"/>
    <x v="0"/>
    <x v="0"/>
    <x v="0"/>
    <x v="36"/>
    <x v="29"/>
    <x v="52"/>
    <x v="1"/>
    <x v="14"/>
    <x v="52"/>
    <x v="139"/>
    <x v="278"/>
    <x v="221"/>
    <x v="29"/>
    <x v="56"/>
    <x v="56"/>
    <x v="12"/>
    <x v="0"/>
    <x v="12"/>
    <x v="37"/>
    <x v="61"/>
    <x v="0"/>
  </r>
  <r>
    <x v="0"/>
    <x v="1"/>
    <x v="37"/>
    <x v="39"/>
    <x v="45"/>
    <x v="16"/>
    <x v="57"/>
    <x v="0"/>
    <x v="158"/>
    <x v="0"/>
    <x v="166"/>
    <x v="0"/>
    <x v="161"/>
    <x v="0"/>
    <x v="0"/>
    <x v="0"/>
    <x v="0"/>
    <x v="0"/>
    <x v="37"/>
    <x v="39"/>
    <x v="45"/>
    <x v="1"/>
    <x v="59"/>
    <x v="54"/>
    <x v="134"/>
    <x v="305"/>
    <x v="238"/>
    <x v="65"/>
    <x v="49"/>
    <x v="49"/>
    <x v="8"/>
    <x v="0"/>
    <x v="11"/>
    <x v="29"/>
    <x v="76"/>
    <x v="0"/>
  </r>
  <r>
    <x v="0"/>
    <x v="0"/>
    <x v="38"/>
    <x v="41"/>
    <x v="47"/>
    <x v="17"/>
    <x v="57"/>
    <x v="0"/>
    <x v="158"/>
    <x v="0"/>
    <x v="166"/>
    <x v="0"/>
    <x v="161"/>
    <x v="0"/>
    <x v="0"/>
    <x v="0"/>
    <x v="0"/>
    <x v="0"/>
    <x v="38"/>
    <x v="41"/>
    <x v="47"/>
    <x v="1"/>
    <x v="68"/>
    <x v="21"/>
    <x v="126"/>
    <x v="110"/>
    <x v="101"/>
    <x v="13"/>
    <x v="51"/>
    <x v="51"/>
    <x v="21"/>
    <x v="0"/>
    <x v="8"/>
    <x v="27"/>
    <x v="74"/>
    <x v="0"/>
  </r>
  <r>
    <x v="0"/>
    <x v="2"/>
    <x v="39"/>
    <x v="39"/>
    <x v="43"/>
    <x v="27"/>
    <x v="11"/>
    <x v="1"/>
    <x v="149"/>
    <x v="1"/>
    <x v="162"/>
    <x v="1"/>
    <x v="161"/>
    <x v="0"/>
    <x v="0"/>
    <x v="0"/>
    <x v="0"/>
    <x v="0"/>
    <x v="39"/>
    <x v="39"/>
    <x v="43"/>
    <x v="1"/>
    <x v="39"/>
    <x v="51"/>
    <x v="144"/>
    <x v="288"/>
    <x v="252"/>
    <x v="29"/>
    <x v="45"/>
    <x v="45"/>
    <x v="12"/>
    <x v="0"/>
    <x v="8"/>
    <x v="29"/>
    <x v="70"/>
    <x v="0"/>
  </r>
  <r>
    <x v="0"/>
    <x v="0"/>
    <x v="40"/>
    <x v="23"/>
    <x v="25"/>
    <x v="21"/>
    <x v="0"/>
    <x v="1"/>
    <x v="4"/>
    <x v="1"/>
    <x v="38"/>
    <x v="1"/>
    <x v="0"/>
    <x v="1"/>
    <x v="0"/>
    <x v="0"/>
    <x v="0"/>
    <x v="0"/>
    <x v="40"/>
    <x v="23"/>
    <x v="25"/>
    <x v="0"/>
    <x v="1"/>
    <x v="1"/>
    <x v="77"/>
    <x v="53"/>
    <x v="71"/>
    <x v="1"/>
    <x v="28"/>
    <x v="26"/>
    <x v="100"/>
    <x v="0"/>
    <x v="1"/>
    <x v="1"/>
    <x v="1"/>
    <x v="1"/>
  </r>
  <r>
    <x v="0"/>
    <x v="2"/>
    <x v="41"/>
    <x v="4"/>
    <x v="14"/>
    <x v="3"/>
    <x v="15"/>
    <x v="1"/>
    <x v="35"/>
    <x v="1"/>
    <x v="25"/>
    <x v="1"/>
    <x v="87"/>
    <x v="1"/>
    <x v="0"/>
    <x v="0"/>
    <x v="0"/>
    <x v="0"/>
    <x v="41"/>
    <x v="4"/>
    <x v="14"/>
    <x v="0"/>
    <x v="16"/>
    <x v="139"/>
    <x v="88"/>
    <x v="102"/>
    <x v="94"/>
    <x v="71"/>
    <x v="13"/>
    <x v="14"/>
    <x v="10"/>
    <x v="12"/>
    <x v="16"/>
    <x v="59"/>
    <x v="21"/>
    <x v="1"/>
  </r>
  <r>
    <x v="0"/>
    <x v="2"/>
    <x v="42"/>
    <x v="15"/>
    <x v="27"/>
    <x v="15"/>
    <x v="4"/>
    <x v="1"/>
    <x v="21"/>
    <x v="1"/>
    <x v="22"/>
    <x v="1"/>
    <x v="14"/>
    <x v="1"/>
    <x v="0"/>
    <x v="0"/>
    <x v="0"/>
    <x v="0"/>
    <x v="42"/>
    <x v="15"/>
    <x v="27"/>
    <x v="0"/>
    <x v="5"/>
    <x v="31"/>
    <x v="112"/>
    <x v="137"/>
    <x v="98"/>
    <x v="2"/>
    <x v="29"/>
    <x v="28"/>
    <x v="11"/>
    <x v="0"/>
    <x v="1"/>
    <x v="13"/>
    <x v="3"/>
    <x v="1"/>
  </r>
  <r>
    <x v="0"/>
    <x v="1"/>
    <x v="43"/>
    <x v="60"/>
    <x v="84"/>
    <x v="34"/>
    <x v="3"/>
    <x v="1"/>
    <x v="95"/>
    <x v="1"/>
    <x v="136"/>
    <x v="1"/>
    <x v="31"/>
    <x v="1"/>
    <x v="0"/>
    <x v="0"/>
    <x v="0"/>
    <x v="0"/>
    <x v="43"/>
    <x v="60"/>
    <x v="84"/>
    <x v="1"/>
    <x v="102"/>
    <x v="8"/>
    <x v="140"/>
    <x v="164"/>
    <x v="115"/>
    <x v="2"/>
    <x v="87"/>
    <x v="87"/>
    <x v="42"/>
    <x v="0"/>
    <x v="1"/>
    <x v="11"/>
    <x v="109"/>
    <x v="0"/>
  </r>
  <r>
    <x v="0"/>
    <x v="0"/>
    <x v="44"/>
    <x v="26"/>
    <x v="21"/>
    <x v="32"/>
    <x v="0"/>
    <x v="1"/>
    <x v="4"/>
    <x v="1"/>
    <x v="32"/>
    <x v="1"/>
    <x v="0"/>
    <x v="1"/>
    <x v="0"/>
    <x v="0"/>
    <x v="0"/>
    <x v="0"/>
    <x v="44"/>
    <x v="26"/>
    <x v="21"/>
    <x v="0"/>
    <x v="1"/>
    <x v="1"/>
    <x v="31"/>
    <x v="25"/>
    <x v="54"/>
    <x v="0"/>
    <x v="25"/>
    <x v="24"/>
    <x v="97"/>
    <x v="0"/>
    <x v="0"/>
    <x v="0"/>
    <x v="0"/>
    <x v="1"/>
  </r>
  <r>
    <x v="0"/>
    <x v="1"/>
    <x v="45"/>
    <x v="5"/>
    <x v="3"/>
    <x v="15"/>
    <x v="1"/>
    <x v="1"/>
    <x v="1"/>
    <x v="1"/>
    <x v="5"/>
    <x v="1"/>
    <x v="0"/>
    <x v="1"/>
    <x v="0"/>
    <x v="0"/>
    <x v="0"/>
    <x v="0"/>
    <x v="45"/>
    <x v="5"/>
    <x v="3"/>
    <x v="0"/>
    <x v="2"/>
    <x v="2"/>
    <x v="6"/>
    <x v="7"/>
    <x v="7"/>
    <x v="0"/>
    <x v="3"/>
    <x v="3"/>
    <x v="40"/>
    <x v="0"/>
    <x v="0"/>
    <x v="0"/>
    <x v="0"/>
    <x v="1"/>
  </r>
  <r>
    <x v="0"/>
    <x v="2"/>
    <x v="46"/>
    <x v="34"/>
    <x v="74"/>
    <x v="30"/>
    <x v="9"/>
    <x v="1"/>
    <x v="39"/>
    <x v="1"/>
    <x v="166"/>
    <x v="0"/>
    <x v="23"/>
    <x v="1"/>
    <x v="0"/>
    <x v="0"/>
    <x v="0"/>
    <x v="0"/>
    <x v="46"/>
    <x v="34"/>
    <x v="74"/>
    <x v="1"/>
    <x v="59"/>
    <x v="36"/>
    <x v="127"/>
    <x v="128"/>
    <x v="144"/>
    <x v="3"/>
    <x v="78"/>
    <x v="77"/>
    <x v="3"/>
    <x v="0"/>
    <x v="2"/>
    <x v="33"/>
    <x v="66"/>
    <x v="0"/>
  </r>
  <r>
    <x v="0"/>
    <x v="2"/>
    <x v="47"/>
    <x v="34"/>
    <x v="77"/>
    <x v="0"/>
    <x v="58"/>
    <x v="1"/>
    <x v="157"/>
    <x v="1"/>
    <x v="165"/>
    <x v="1"/>
    <x v="160"/>
    <x v="1"/>
    <x v="0"/>
    <x v="26"/>
    <x v="0"/>
    <x v="0"/>
    <x v="47"/>
    <x v="34"/>
    <x v="77"/>
    <x v="1"/>
    <x v="77"/>
    <x v="36"/>
    <x v="138"/>
    <x v="150"/>
    <x v="189"/>
    <x v="4"/>
    <x v="80"/>
    <x v="80"/>
    <x v="3"/>
    <x v="0"/>
    <x v="3"/>
    <x v="33"/>
    <x v="84"/>
    <x v="0"/>
  </r>
  <r>
    <x v="0"/>
    <x v="2"/>
    <x v="48"/>
    <x v="34"/>
    <x v="92"/>
    <x v="0"/>
    <x v="49"/>
    <x v="1"/>
    <x v="33"/>
    <x v="1"/>
    <x v="56"/>
    <x v="1"/>
    <x v="16"/>
    <x v="1"/>
    <x v="0"/>
    <x v="24"/>
    <x v="0"/>
    <x v="0"/>
    <x v="48"/>
    <x v="34"/>
    <x v="92"/>
    <x v="1"/>
    <x v="78"/>
    <x v="36"/>
    <x v="136"/>
    <x v="138"/>
    <x v="146"/>
    <x v="5"/>
    <x v="95"/>
    <x v="95"/>
    <x v="4"/>
    <x v="0"/>
    <x v="4"/>
    <x v="33"/>
    <x v="85"/>
    <x v="0"/>
  </r>
  <r>
    <x v="0"/>
    <x v="2"/>
    <x v="49"/>
    <x v="34"/>
    <x v="81"/>
    <x v="0"/>
    <x v="44"/>
    <x v="1"/>
    <x v="1"/>
    <x v="1"/>
    <x v="64"/>
    <x v="1"/>
    <x v="11"/>
    <x v="1"/>
    <x v="0"/>
    <x v="25"/>
    <x v="0"/>
    <x v="0"/>
    <x v="49"/>
    <x v="34"/>
    <x v="81"/>
    <x v="1"/>
    <x v="109"/>
    <x v="16"/>
    <x v="130"/>
    <x v="167"/>
    <x v="152"/>
    <x v="6"/>
    <x v="84"/>
    <x v="84"/>
    <x v="16"/>
    <x v="0"/>
    <x v="5"/>
    <x v="33"/>
    <x v="116"/>
    <x v="0"/>
  </r>
  <r>
    <x v="0"/>
    <x v="2"/>
    <x v="50"/>
    <x v="34"/>
    <x v="72"/>
    <x v="1"/>
    <x v="42"/>
    <x v="1"/>
    <x v="129"/>
    <x v="1"/>
    <x v="166"/>
    <x v="0"/>
    <x v="161"/>
    <x v="0"/>
    <x v="0"/>
    <x v="0"/>
    <x v="0"/>
    <x v="0"/>
    <x v="50"/>
    <x v="34"/>
    <x v="72"/>
    <x v="1"/>
    <x v="77"/>
    <x v="16"/>
    <x v="126"/>
    <x v="118"/>
    <x v="117"/>
    <x v="2"/>
    <x v="75"/>
    <x v="75"/>
    <x v="23"/>
    <x v="0"/>
    <x v="1"/>
    <x v="33"/>
    <x v="84"/>
    <x v="0"/>
  </r>
  <r>
    <x v="0"/>
    <x v="2"/>
    <x v="51"/>
    <x v="34"/>
    <x v="88"/>
    <x v="12"/>
    <x v="14"/>
    <x v="1"/>
    <x v="55"/>
    <x v="1"/>
    <x v="166"/>
    <x v="0"/>
    <x v="115"/>
    <x v="1"/>
    <x v="0"/>
    <x v="0"/>
    <x v="0"/>
    <x v="0"/>
    <x v="51"/>
    <x v="34"/>
    <x v="88"/>
    <x v="1"/>
    <x v="74"/>
    <x v="10"/>
    <x v="126"/>
    <x v="140"/>
    <x v="147"/>
    <x v="2"/>
    <x v="91"/>
    <x v="91"/>
    <x v="3"/>
    <x v="0"/>
    <x v="1"/>
    <x v="15"/>
    <x v="81"/>
    <x v="0"/>
  </r>
  <r>
    <x v="0"/>
    <x v="2"/>
    <x v="52"/>
    <x v="34"/>
    <x v="91"/>
    <x v="7"/>
    <x v="3"/>
    <x v="1"/>
    <x v="6"/>
    <x v="1"/>
    <x v="15"/>
    <x v="1"/>
    <x v="11"/>
    <x v="1"/>
    <x v="0"/>
    <x v="0"/>
    <x v="0"/>
    <x v="0"/>
    <x v="52"/>
    <x v="34"/>
    <x v="91"/>
    <x v="1"/>
    <x v="16"/>
    <x v="7"/>
    <x v="144"/>
    <x v="158"/>
    <x v="186"/>
    <x v="2"/>
    <x v="94"/>
    <x v="94"/>
    <x v="17"/>
    <x v="0"/>
    <x v="1"/>
    <x v="8"/>
    <x v="78"/>
    <x v="0"/>
  </r>
  <r>
    <x v="0"/>
    <x v="2"/>
    <x v="53"/>
    <x v="34"/>
    <x v="87"/>
    <x v="10"/>
    <x v="3"/>
    <x v="1"/>
    <x v="7"/>
    <x v="1"/>
    <x v="14"/>
    <x v="1"/>
    <x v="11"/>
    <x v="1"/>
    <x v="0"/>
    <x v="0"/>
    <x v="0"/>
    <x v="0"/>
    <x v="53"/>
    <x v="34"/>
    <x v="87"/>
    <x v="1"/>
    <x v="68"/>
    <x v="6"/>
    <x v="126"/>
    <x v="154"/>
    <x v="175"/>
    <x v="2"/>
    <x v="90"/>
    <x v="90"/>
    <x v="27"/>
    <x v="0"/>
    <x v="1"/>
    <x v="6"/>
    <x v="74"/>
    <x v="0"/>
  </r>
  <r>
    <x v="0"/>
    <x v="2"/>
    <x v="54"/>
    <x v="41"/>
    <x v="89"/>
    <x v="30"/>
    <x v="9"/>
    <x v="1"/>
    <x v="42"/>
    <x v="1"/>
    <x v="166"/>
    <x v="0"/>
    <x v="32"/>
    <x v="1"/>
    <x v="0"/>
    <x v="0"/>
    <x v="0"/>
    <x v="0"/>
    <x v="54"/>
    <x v="41"/>
    <x v="89"/>
    <x v="1"/>
    <x v="75"/>
    <x v="15"/>
    <x v="126"/>
    <x v="109"/>
    <x v="116"/>
    <x v="2"/>
    <x v="92"/>
    <x v="92"/>
    <x v="5"/>
    <x v="0"/>
    <x v="1"/>
    <x v="27"/>
    <x v="82"/>
    <x v="0"/>
  </r>
  <r>
    <x v="0"/>
    <x v="2"/>
    <x v="55"/>
    <x v="41"/>
    <x v="105"/>
    <x v="0"/>
    <x v="51"/>
    <x v="1"/>
    <x v="3"/>
    <x v="1"/>
    <x v="10"/>
    <x v="1"/>
    <x v="86"/>
    <x v="1"/>
    <x v="0"/>
    <x v="28"/>
    <x v="0"/>
    <x v="0"/>
    <x v="55"/>
    <x v="41"/>
    <x v="105"/>
    <x v="1"/>
    <x v="109"/>
    <x v="35"/>
    <x v="126"/>
    <x v="203"/>
    <x v="136"/>
    <x v="7"/>
    <x v="108"/>
    <x v="108"/>
    <x v="3"/>
    <x v="0"/>
    <x v="6"/>
    <x v="27"/>
    <x v="116"/>
    <x v="0"/>
  </r>
  <r>
    <x v="0"/>
    <x v="2"/>
    <x v="56"/>
    <x v="41"/>
    <x v="85"/>
    <x v="0"/>
    <x v="58"/>
    <x v="1"/>
    <x v="157"/>
    <x v="1"/>
    <x v="165"/>
    <x v="1"/>
    <x v="160"/>
    <x v="1"/>
    <x v="0"/>
    <x v="28"/>
    <x v="0"/>
    <x v="0"/>
    <x v="56"/>
    <x v="41"/>
    <x v="85"/>
    <x v="1"/>
    <x v="109"/>
    <x v="15"/>
    <x v="131"/>
    <x v="173"/>
    <x v="160"/>
    <x v="6"/>
    <x v="88"/>
    <x v="88"/>
    <x v="0"/>
    <x v="0"/>
    <x v="5"/>
    <x v="27"/>
    <x v="116"/>
    <x v="0"/>
  </r>
  <r>
    <x v="0"/>
    <x v="2"/>
    <x v="57"/>
    <x v="41"/>
    <x v="106"/>
    <x v="0"/>
    <x v="53"/>
    <x v="1"/>
    <x v="19"/>
    <x v="1"/>
    <x v="166"/>
    <x v="0"/>
    <x v="125"/>
    <x v="1"/>
    <x v="0"/>
    <x v="22"/>
    <x v="0"/>
    <x v="0"/>
    <x v="57"/>
    <x v="41"/>
    <x v="106"/>
    <x v="1"/>
    <x v="109"/>
    <x v="35"/>
    <x v="140"/>
    <x v="186"/>
    <x v="153"/>
    <x v="7"/>
    <x v="109"/>
    <x v="109"/>
    <x v="6"/>
    <x v="0"/>
    <x v="5"/>
    <x v="27"/>
    <x v="116"/>
    <x v="0"/>
  </r>
  <r>
    <x v="0"/>
    <x v="2"/>
    <x v="58"/>
    <x v="41"/>
    <x v="94"/>
    <x v="1"/>
    <x v="48"/>
    <x v="1"/>
    <x v="90"/>
    <x v="1"/>
    <x v="149"/>
    <x v="1"/>
    <x v="161"/>
    <x v="0"/>
    <x v="0"/>
    <x v="19"/>
    <x v="0"/>
    <x v="0"/>
    <x v="58"/>
    <x v="41"/>
    <x v="94"/>
    <x v="1"/>
    <x v="91"/>
    <x v="15"/>
    <x v="126"/>
    <x v="151"/>
    <x v="143"/>
    <x v="2"/>
    <x v="97"/>
    <x v="97"/>
    <x v="6"/>
    <x v="0"/>
    <x v="1"/>
    <x v="27"/>
    <x v="97"/>
    <x v="0"/>
  </r>
  <r>
    <x v="0"/>
    <x v="2"/>
    <x v="59"/>
    <x v="41"/>
    <x v="96"/>
    <x v="18"/>
    <x v="2"/>
    <x v="1"/>
    <x v="11"/>
    <x v="1"/>
    <x v="23"/>
    <x v="1"/>
    <x v="5"/>
    <x v="1"/>
    <x v="0"/>
    <x v="0"/>
    <x v="0"/>
    <x v="0"/>
    <x v="59"/>
    <x v="41"/>
    <x v="96"/>
    <x v="1"/>
    <x v="4"/>
    <x v="3"/>
    <x v="126"/>
    <x v="153"/>
    <x v="139"/>
    <x v="3"/>
    <x v="99"/>
    <x v="99"/>
    <x v="24"/>
    <x v="0"/>
    <x v="2"/>
    <x v="2"/>
    <x v="2"/>
    <x v="0"/>
  </r>
  <r>
    <x v="0"/>
    <x v="2"/>
    <x v="60"/>
    <x v="43"/>
    <x v="33"/>
    <x v="31"/>
    <x v="7"/>
    <x v="1"/>
    <x v="145"/>
    <x v="1"/>
    <x v="84"/>
    <x v="1"/>
    <x v="161"/>
    <x v="0"/>
    <x v="0"/>
    <x v="0"/>
    <x v="0"/>
    <x v="0"/>
    <x v="60"/>
    <x v="43"/>
    <x v="33"/>
    <x v="1"/>
    <x v="14"/>
    <x v="30"/>
    <x v="146"/>
    <x v="287"/>
    <x v="246"/>
    <x v="34"/>
    <x v="35"/>
    <x v="34"/>
    <x v="30"/>
    <x v="0"/>
    <x v="15"/>
    <x v="25"/>
    <x v="56"/>
    <x v="0"/>
  </r>
  <r>
    <x v="0"/>
    <x v="2"/>
    <x v="61"/>
    <x v="43"/>
    <x v="83"/>
    <x v="4"/>
    <x v="36"/>
    <x v="1"/>
    <x v="113"/>
    <x v="1"/>
    <x v="166"/>
    <x v="0"/>
    <x v="161"/>
    <x v="0"/>
    <x v="0"/>
    <x v="0"/>
    <x v="0"/>
    <x v="0"/>
    <x v="61"/>
    <x v="43"/>
    <x v="83"/>
    <x v="1"/>
    <x v="94"/>
    <x v="14"/>
    <x v="143"/>
    <x v="149"/>
    <x v="121"/>
    <x v="2"/>
    <x v="86"/>
    <x v="86"/>
    <x v="9"/>
    <x v="0"/>
    <x v="1"/>
    <x v="25"/>
    <x v="100"/>
    <x v="0"/>
  </r>
  <r>
    <x v="0"/>
    <x v="2"/>
    <x v="62"/>
    <x v="43"/>
    <x v="66"/>
    <x v="10"/>
    <x v="57"/>
    <x v="0"/>
    <x v="158"/>
    <x v="0"/>
    <x v="166"/>
    <x v="0"/>
    <x v="161"/>
    <x v="0"/>
    <x v="0"/>
    <x v="0"/>
    <x v="0"/>
    <x v="0"/>
    <x v="62"/>
    <x v="43"/>
    <x v="66"/>
    <x v="1"/>
    <x v="80"/>
    <x v="47"/>
    <x v="130"/>
    <x v="247"/>
    <x v="228"/>
    <x v="23"/>
    <x v="69"/>
    <x v="69"/>
    <x v="0"/>
    <x v="0"/>
    <x v="11"/>
    <x v="25"/>
    <x v="93"/>
    <x v="0"/>
  </r>
  <r>
    <x v="0"/>
    <x v="2"/>
    <x v="63"/>
    <x v="43"/>
    <x v="60"/>
    <x v="15"/>
    <x v="57"/>
    <x v="0"/>
    <x v="158"/>
    <x v="0"/>
    <x v="166"/>
    <x v="0"/>
    <x v="161"/>
    <x v="0"/>
    <x v="0"/>
    <x v="0"/>
    <x v="0"/>
    <x v="0"/>
    <x v="63"/>
    <x v="43"/>
    <x v="60"/>
    <x v="1"/>
    <x v="83"/>
    <x v="26"/>
    <x v="140"/>
    <x v="260"/>
    <x v="243"/>
    <x v="3"/>
    <x v="63"/>
    <x v="63"/>
    <x v="6"/>
    <x v="0"/>
    <x v="2"/>
    <x v="25"/>
    <x v="89"/>
    <x v="0"/>
  </r>
  <r>
    <x v="0"/>
    <x v="2"/>
    <x v="64"/>
    <x v="43"/>
    <x v="59"/>
    <x v="11"/>
    <x v="57"/>
    <x v="0"/>
    <x v="158"/>
    <x v="0"/>
    <x v="166"/>
    <x v="0"/>
    <x v="161"/>
    <x v="0"/>
    <x v="0"/>
    <x v="0"/>
    <x v="0"/>
    <x v="0"/>
    <x v="64"/>
    <x v="43"/>
    <x v="59"/>
    <x v="1"/>
    <x v="82"/>
    <x v="25"/>
    <x v="126"/>
    <x v="214"/>
    <x v="197"/>
    <x v="3"/>
    <x v="62"/>
    <x v="62"/>
    <x v="52"/>
    <x v="0"/>
    <x v="2"/>
    <x v="25"/>
    <x v="88"/>
    <x v="0"/>
  </r>
  <r>
    <x v="0"/>
    <x v="2"/>
    <x v="65"/>
    <x v="43"/>
    <x v="90"/>
    <x v="3"/>
    <x v="42"/>
    <x v="1"/>
    <x v="150"/>
    <x v="1"/>
    <x v="166"/>
    <x v="0"/>
    <x v="161"/>
    <x v="0"/>
    <x v="0"/>
    <x v="4"/>
    <x v="0"/>
    <x v="0"/>
    <x v="65"/>
    <x v="43"/>
    <x v="90"/>
    <x v="1"/>
    <x v="93"/>
    <x v="14"/>
    <x v="146"/>
    <x v="146"/>
    <x v="145"/>
    <x v="2"/>
    <x v="93"/>
    <x v="93"/>
    <x v="3"/>
    <x v="0"/>
    <x v="1"/>
    <x v="25"/>
    <x v="99"/>
    <x v="0"/>
  </r>
  <r>
    <x v="0"/>
    <x v="2"/>
    <x v="66"/>
    <x v="43"/>
    <x v="97"/>
    <x v="4"/>
    <x v="15"/>
    <x v="1"/>
    <x v="50"/>
    <x v="1"/>
    <x v="166"/>
    <x v="0"/>
    <x v="156"/>
    <x v="1"/>
    <x v="0"/>
    <x v="1"/>
    <x v="0"/>
    <x v="0"/>
    <x v="66"/>
    <x v="43"/>
    <x v="97"/>
    <x v="1"/>
    <x v="93"/>
    <x v="31"/>
    <x v="129"/>
    <x v="185"/>
    <x v="162"/>
    <x v="7"/>
    <x v="100"/>
    <x v="100"/>
    <x v="7"/>
    <x v="0"/>
    <x v="6"/>
    <x v="14"/>
    <x v="99"/>
    <x v="0"/>
  </r>
  <r>
    <x v="0"/>
    <x v="2"/>
    <x v="67"/>
    <x v="43"/>
    <x v="63"/>
    <x v="14"/>
    <x v="26"/>
    <x v="1"/>
    <x v="156"/>
    <x v="1"/>
    <x v="166"/>
    <x v="0"/>
    <x v="161"/>
    <x v="0"/>
    <x v="0"/>
    <x v="0"/>
    <x v="0"/>
    <x v="0"/>
    <x v="67"/>
    <x v="43"/>
    <x v="63"/>
    <x v="1"/>
    <x v="85"/>
    <x v="41"/>
    <x v="126"/>
    <x v="192"/>
    <x v="229"/>
    <x v="5"/>
    <x v="66"/>
    <x v="66"/>
    <x v="24"/>
    <x v="0"/>
    <x v="3"/>
    <x v="25"/>
    <x v="91"/>
    <x v="0"/>
  </r>
  <r>
    <x v="0"/>
    <x v="2"/>
    <x v="68"/>
    <x v="43"/>
    <x v="65"/>
    <x v="12"/>
    <x v="57"/>
    <x v="0"/>
    <x v="158"/>
    <x v="0"/>
    <x v="166"/>
    <x v="0"/>
    <x v="161"/>
    <x v="0"/>
    <x v="0"/>
    <x v="0"/>
    <x v="0"/>
    <x v="0"/>
    <x v="68"/>
    <x v="43"/>
    <x v="65"/>
    <x v="1"/>
    <x v="87"/>
    <x v="29"/>
    <x v="128"/>
    <x v="215"/>
    <x v="217"/>
    <x v="5"/>
    <x v="68"/>
    <x v="68"/>
    <x v="6"/>
    <x v="0"/>
    <x v="3"/>
    <x v="25"/>
    <x v="93"/>
    <x v="0"/>
  </r>
  <r>
    <x v="0"/>
    <x v="2"/>
    <x v="69"/>
    <x v="43"/>
    <x v="38"/>
    <x v="33"/>
    <x v="4"/>
    <x v="1"/>
    <x v="97"/>
    <x v="1"/>
    <x v="71"/>
    <x v="1"/>
    <x v="62"/>
    <x v="1"/>
    <x v="0"/>
    <x v="0"/>
    <x v="0"/>
    <x v="0"/>
    <x v="69"/>
    <x v="43"/>
    <x v="38"/>
    <x v="0"/>
    <x v="5"/>
    <x v="31"/>
    <x v="87"/>
    <x v="94"/>
    <x v="78"/>
    <x v="4"/>
    <x v="39"/>
    <x v="39"/>
    <x v="67"/>
    <x v="0"/>
    <x v="3"/>
    <x v="13"/>
    <x v="17"/>
    <x v="1"/>
  </r>
  <r>
    <x v="0"/>
    <x v="2"/>
    <x v="70"/>
    <x v="43"/>
    <x v="31"/>
    <x v="37"/>
    <x v="4"/>
    <x v="1"/>
    <x v="88"/>
    <x v="1"/>
    <x v="62"/>
    <x v="1"/>
    <x v="74"/>
    <x v="1"/>
    <x v="0"/>
    <x v="0"/>
    <x v="0"/>
    <x v="0"/>
    <x v="70"/>
    <x v="43"/>
    <x v="31"/>
    <x v="0"/>
    <x v="5"/>
    <x v="31"/>
    <x v="84"/>
    <x v="91"/>
    <x v="74"/>
    <x v="5"/>
    <x v="33"/>
    <x v="32"/>
    <x v="68"/>
    <x v="0"/>
    <x v="3"/>
    <x v="12"/>
    <x v="36"/>
    <x v="1"/>
  </r>
  <r>
    <x v="0"/>
    <x v="2"/>
    <x v="71"/>
    <x v="26"/>
    <x v="64"/>
    <x v="25"/>
    <x v="9"/>
    <x v="1"/>
    <x v="29"/>
    <x v="1"/>
    <x v="166"/>
    <x v="0"/>
    <x v="22"/>
    <x v="1"/>
    <x v="0"/>
    <x v="0"/>
    <x v="0"/>
    <x v="0"/>
    <x v="71"/>
    <x v="26"/>
    <x v="64"/>
    <x v="1"/>
    <x v="46"/>
    <x v="20"/>
    <x v="126"/>
    <x v="115"/>
    <x v="95"/>
    <x v="5"/>
    <x v="67"/>
    <x v="67"/>
    <x v="10"/>
    <x v="0"/>
    <x v="4"/>
    <x v="40"/>
    <x v="51"/>
    <x v="0"/>
  </r>
  <r>
    <x v="0"/>
    <x v="2"/>
    <x v="72"/>
    <x v="26"/>
    <x v="64"/>
    <x v="0"/>
    <x v="58"/>
    <x v="1"/>
    <x v="157"/>
    <x v="1"/>
    <x v="165"/>
    <x v="1"/>
    <x v="160"/>
    <x v="1"/>
    <x v="0"/>
    <x v="23"/>
    <x v="0"/>
    <x v="0"/>
    <x v="72"/>
    <x v="26"/>
    <x v="64"/>
    <x v="1"/>
    <x v="109"/>
    <x v="37"/>
    <x v="126"/>
    <x v="126"/>
    <x v="159"/>
    <x v="12"/>
    <x v="67"/>
    <x v="67"/>
    <x v="2"/>
    <x v="0"/>
    <x v="7"/>
    <x v="40"/>
    <x v="116"/>
    <x v="0"/>
  </r>
  <r>
    <x v="0"/>
    <x v="2"/>
    <x v="73"/>
    <x v="26"/>
    <x v="67"/>
    <x v="1"/>
    <x v="38"/>
    <x v="1"/>
    <x v="94"/>
    <x v="1"/>
    <x v="166"/>
    <x v="0"/>
    <x v="161"/>
    <x v="0"/>
    <x v="0"/>
    <x v="4"/>
    <x v="0"/>
    <x v="0"/>
    <x v="73"/>
    <x v="26"/>
    <x v="67"/>
    <x v="1"/>
    <x v="57"/>
    <x v="18"/>
    <x v="126"/>
    <x v="120"/>
    <x v="193"/>
    <x v="2"/>
    <x v="70"/>
    <x v="70"/>
    <x v="4"/>
    <x v="0"/>
    <x v="1"/>
    <x v="40"/>
    <x v="64"/>
    <x v="0"/>
  </r>
  <r>
    <x v="0"/>
    <x v="2"/>
    <x v="74"/>
    <x v="26"/>
    <x v="73"/>
    <x v="10"/>
    <x v="14"/>
    <x v="1"/>
    <x v="38"/>
    <x v="1"/>
    <x v="166"/>
    <x v="0"/>
    <x v="78"/>
    <x v="1"/>
    <x v="0"/>
    <x v="2"/>
    <x v="0"/>
    <x v="0"/>
    <x v="74"/>
    <x v="26"/>
    <x v="73"/>
    <x v="1"/>
    <x v="55"/>
    <x v="37"/>
    <x v="126"/>
    <x v="144"/>
    <x v="168"/>
    <x v="3"/>
    <x v="76"/>
    <x v="76"/>
    <x v="10"/>
    <x v="0"/>
    <x v="2"/>
    <x v="40"/>
    <x v="62"/>
    <x v="0"/>
  </r>
  <r>
    <x v="0"/>
    <x v="2"/>
    <x v="75"/>
    <x v="26"/>
    <x v="75"/>
    <x v="6"/>
    <x v="3"/>
    <x v="1"/>
    <x v="3"/>
    <x v="1"/>
    <x v="12"/>
    <x v="1"/>
    <x v="5"/>
    <x v="1"/>
    <x v="0"/>
    <x v="0"/>
    <x v="0"/>
    <x v="0"/>
    <x v="75"/>
    <x v="26"/>
    <x v="75"/>
    <x v="1"/>
    <x v="19"/>
    <x v="9"/>
    <x v="130"/>
    <x v="107"/>
    <x v="99"/>
    <x v="3"/>
    <x v="77"/>
    <x v="78"/>
    <x v="11"/>
    <x v="0"/>
    <x v="2"/>
    <x v="9"/>
    <x v="15"/>
    <x v="0"/>
  </r>
  <r>
    <x v="0"/>
    <x v="2"/>
    <x v="76"/>
    <x v="26"/>
    <x v="71"/>
    <x v="8"/>
    <x v="3"/>
    <x v="1"/>
    <x v="2"/>
    <x v="1"/>
    <x v="11"/>
    <x v="1"/>
    <x v="6"/>
    <x v="1"/>
    <x v="0"/>
    <x v="0"/>
    <x v="0"/>
    <x v="0"/>
    <x v="76"/>
    <x v="26"/>
    <x v="71"/>
    <x v="1"/>
    <x v="6"/>
    <x v="9"/>
    <x v="126"/>
    <x v="108"/>
    <x v="96"/>
    <x v="4"/>
    <x v="74"/>
    <x v="74"/>
    <x v="23"/>
    <x v="0"/>
    <x v="3"/>
    <x v="5"/>
    <x v="62"/>
    <x v="0"/>
  </r>
  <r>
    <x v="0"/>
    <x v="1"/>
    <x v="77"/>
    <x v="24"/>
    <x v="21"/>
    <x v="29"/>
    <x v="0"/>
    <x v="1"/>
    <x v="9"/>
    <x v="1"/>
    <x v="31"/>
    <x v="1"/>
    <x v="0"/>
    <x v="1"/>
    <x v="0"/>
    <x v="0"/>
    <x v="0"/>
    <x v="0"/>
    <x v="77"/>
    <x v="24"/>
    <x v="21"/>
    <x v="0"/>
    <x v="1"/>
    <x v="1"/>
    <x v="14"/>
    <x v="14"/>
    <x v="35"/>
    <x v="0"/>
    <x v="24"/>
    <x v="23"/>
    <x v="59"/>
    <x v="0"/>
    <x v="0"/>
    <x v="0"/>
    <x v="0"/>
    <x v="1"/>
  </r>
  <r>
    <x v="0"/>
    <x v="2"/>
    <x v="78"/>
    <x v="50"/>
    <x v="86"/>
    <x v="5"/>
    <x v="57"/>
    <x v="0"/>
    <x v="158"/>
    <x v="0"/>
    <x v="166"/>
    <x v="0"/>
    <x v="161"/>
    <x v="0"/>
    <x v="0"/>
    <x v="0"/>
    <x v="0"/>
    <x v="0"/>
    <x v="78"/>
    <x v="50"/>
    <x v="86"/>
    <x v="1"/>
    <x v="100"/>
    <x v="12"/>
    <x v="126"/>
    <x v="152"/>
    <x v="142"/>
    <x v="2"/>
    <x v="89"/>
    <x v="89"/>
    <x v="8"/>
    <x v="0"/>
    <x v="1"/>
    <x v="21"/>
    <x v="107"/>
    <x v="0"/>
  </r>
  <r>
    <x v="0"/>
    <x v="0"/>
    <x v="79"/>
    <x v="44"/>
    <x v="93"/>
    <x v="3"/>
    <x v="40"/>
    <x v="1"/>
    <x v="151"/>
    <x v="1"/>
    <x v="166"/>
    <x v="0"/>
    <x v="161"/>
    <x v="0"/>
    <x v="0"/>
    <x v="0"/>
    <x v="0"/>
    <x v="0"/>
    <x v="79"/>
    <x v="44"/>
    <x v="93"/>
    <x v="1"/>
    <x v="95"/>
    <x v="13"/>
    <x v="132"/>
    <x v="116"/>
    <x v="118"/>
    <x v="2"/>
    <x v="96"/>
    <x v="96"/>
    <x v="14"/>
    <x v="0"/>
    <x v="1"/>
    <x v="24"/>
    <x v="101"/>
    <x v="0"/>
  </r>
  <r>
    <x v="0"/>
    <x v="0"/>
    <x v="80"/>
    <x v="44"/>
    <x v="107"/>
    <x v="0"/>
    <x v="55"/>
    <x v="1"/>
    <x v="8"/>
    <x v="1"/>
    <x v="2"/>
    <x v="1"/>
    <x v="1"/>
    <x v="1"/>
    <x v="0"/>
    <x v="30"/>
    <x v="0"/>
    <x v="0"/>
    <x v="80"/>
    <x v="44"/>
    <x v="107"/>
    <x v="1"/>
    <x v="109"/>
    <x v="13"/>
    <x v="135"/>
    <x v="205"/>
    <x v="151"/>
    <x v="6"/>
    <x v="110"/>
    <x v="110"/>
    <x v="9"/>
    <x v="0"/>
    <x v="5"/>
    <x v="24"/>
    <x v="116"/>
    <x v="0"/>
  </r>
  <r>
    <x v="0"/>
    <x v="0"/>
    <x v="81"/>
    <x v="44"/>
    <x v="32"/>
    <x v="36"/>
    <x v="58"/>
    <x v="1"/>
    <x v="157"/>
    <x v="1"/>
    <x v="165"/>
    <x v="1"/>
    <x v="160"/>
    <x v="1"/>
    <x v="0"/>
    <x v="0"/>
    <x v="0"/>
    <x v="0"/>
    <x v="81"/>
    <x v="44"/>
    <x v="32"/>
    <x v="0"/>
    <x v="0"/>
    <x v="0"/>
    <x v="11"/>
    <x v="8"/>
    <x v="51"/>
    <x v="0"/>
    <x v="34"/>
    <x v="33"/>
    <x v="0"/>
    <x v="0"/>
    <x v="0"/>
    <x v="0"/>
    <x v="0"/>
    <x v="1"/>
  </r>
  <r>
    <x v="0"/>
    <x v="0"/>
    <x v="82"/>
    <x v="44"/>
    <x v="62"/>
    <x v="13"/>
    <x v="6"/>
    <x v="1"/>
    <x v="110"/>
    <x v="1"/>
    <x v="101"/>
    <x v="1"/>
    <x v="97"/>
    <x v="1"/>
    <x v="0"/>
    <x v="0"/>
    <x v="0"/>
    <x v="0"/>
    <x v="82"/>
    <x v="44"/>
    <x v="62"/>
    <x v="1"/>
    <x v="70"/>
    <x v="19"/>
    <x v="126"/>
    <x v="240"/>
    <x v="184"/>
    <x v="3"/>
    <x v="65"/>
    <x v="65"/>
    <x v="25"/>
    <x v="0"/>
    <x v="2"/>
    <x v="24"/>
    <x v="76"/>
    <x v="0"/>
  </r>
  <r>
    <x v="0"/>
    <x v="0"/>
    <x v="83"/>
    <x v="44"/>
    <x v="78"/>
    <x v="7"/>
    <x v="19"/>
    <x v="1"/>
    <x v="132"/>
    <x v="1"/>
    <x v="166"/>
    <x v="0"/>
    <x v="161"/>
    <x v="0"/>
    <x v="0"/>
    <x v="0"/>
    <x v="0"/>
    <x v="0"/>
    <x v="83"/>
    <x v="44"/>
    <x v="78"/>
    <x v="1"/>
    <x v="92"/>
    <x v="13"/>
    <x v="126"/>
    <x v="117"/>
    <x v="106"/>
    <x v="2"/>
    <x v="81"/>
    <x v="81"/>
    <x v="15"/>
    <x v="0"/>
    <x v="1"/>
    <x v="24"/>
    <x v="98"/>
    <x v="0"/>
  </r>
  <r>
    <x v="0"/>
    <x v="0"/>
    <x v="84"/>
    <x v="34"/>
    <x v="11"/>
    <x v="27"/>
    <x v="4"/>
    <x v="1"/>
    <x v="128"/>
    <x v="1"/>
    <x v="68"/>
    <x v="1"/>
    <x v="46"/>
    <x v="1"/>
    <x v="0"/>
    <x v="0"/>
    <x v="0"/>
    <x v="0"/>
    <x v="84"/>
    <x v="34"/>
    <x v="11"/>
    <x v="0"/>
    <x v="5"/>
    <x v="31"/>
    <x v="63"/>
    <x v="80"/>
    <x v="38"/>
    <x v="4"/>
    <x v="16"/>
    <x v="12"/>
    <x v="70"/>
    <x v="0"/>
    <x v="2"/>
    <x v="13"/>
    <x v="3"/>
    <x v="1"/>
  </r>
  <r>
    <x v="0"/>
    <x v="0"/>
    <x v="85"/>
    <x v="34"/>
    <x v="11"/>
    <x v="27"/>
    <x v="4"/>
    <x v="1"/>
    <x v="135"/>
    <x v="1"/>
    <x v="67"/>
    <x v="1"/>
    <x v="45"/>
    <x v="1"/>
    <x v="0"/>
    <x v="0"/>
    <x v="0"/>
    <x v="0"/>
    <x v="85"/>
    <x v="34"/>
    <x v="11"/>
    <x v="0"/>
    <x v="5"/>
    <x v="31"/>
    <x v="67"/>
    <x v="82"/>
    <x v="41"/>
    <x v="4"/>
    <x v="16"/>
    <x v="12"/>
    <x v="76"/>
    <x v="0"/>
    <x v="2"/>
    <x v="10"/>
    <x v="3"/>
    <x v="1"/>
  </r>
  <r>
    <x v="0"/>
    <x v="0"/>
    <x v="86"/>
    <x v="30"/>
    <x v="7"/>
    <x v="23"/>
    <x v="3"/>
    <x v="1"/>
    <x v="105"/>
    <x v="1"/>
    <x v="65"/>
    <x v="1"/>
    <x v="39"/>
    <x v="1"/>
    <x v="0"/>
    <x v="0"/>
    <x v="0"/>
    <x v="0"/>
    <x v="86"/>
    <x v="30"/>
    <x v="7"/>
    <x v="0"/>
    <x v="4"/>
    <x v="9"/>
    <x v="28"/>
    <x v="47"/>
    <x v="17"/>
    <x v="0"/>
    <x v="8"/>
    <x v="7"/>
    <x v="62"/>
    <x v="0"/>
    <x v="0"/>
    <x v="0"/>
    <x v="0"/>
    <x v="1"/>
  </r>
  <r>
    <x v="0"/>
    <x v="0"/>
    <x v="87"/>
    <x v="30"/>
    <x v="7"/>
    <x v="23"/>
    <x v="3"/>
    <x v="1"/>
    <x v="86"/>
    <x v="1"/>
    <x v="59"/>
    <x v="1"/>
    <x v="11"/>
    <x v="1"/>
    <x v="0"/>
    <x v="0"/>
    <x v="0"/>
    <x v="0"/>
    <x v="87"/>
    <x v="30"/>
    <x v="7"/>
    <x v="0"/>
    <x v="4"/>
    <x v="9"/>
    <x v="21"/>
    <x v="43"/>
    <x v="18"/>
    <x v="0"/>
    <x v="8"/>
    <x v="7"/>
    <x v="64"/>
    <x v="0"/>
    <x v="0"/>
    <x v="0"/>
    <x v="0"/>
    <x v="1"/>
  </r>
  <r>
    <x v="0"/>
    <x v="0"/>
    <x v="88"/>
    <x v="57"/>
    <x v="99"/>
    <x v="47"/>
    <x v="58"/>
    <x v="1"/>
    <x v="157"/>
    <x v="1"/>
    <x v="165"/>
    <x v="1"/>
    <x v="160"/>
    <x v="1"/>
    <x v="0"/>
    <x v="0"/>
    <x v="0"/>
    <x v="0"/>
    <x v="88"/>
    <x v="57"/>
    <x v="99"/>
    <x v="0"/>
    <x v="0"/>
    <x v="0"/>
    <x v="91"/>
    <x v="32"/>
    <x v="109"/>
    <x v="0"/>
    <x v="103"/>
    <x v="103"/>
    <x v="0"/>
    <x v="0"/>
    <x v="0"/>
    <x v="0"/>
    <x v="0"/>
    <x v="1"/>
  </r>
  <r>
    <x v="0"/>
    <x v="0"/>
    <x v="89"/>
    <x v="54"/>
    <x v="101"/>
    <x v="45"/>
    <x v="58"/>
    <x v="1"/>
    <x v="157"/>
    <x v="1"/>
    <x v="165"/>
    <x v="1"/>
    <x v="160"/>
    <x v="1"/>
    <x v="0"/>
    <x v="0"/>
    <x v="0"/>
    <x v="0"/>
    <x v="89"/>
    <x v="54"/>
    <x v="101"/>
    <x v="0"/>
    <x v="0"/>
    <x v="0"/>
    <x v="95"/>
    <x v="34"/>
    <x v="111"/>
    <x v="0"/>
    <x v="104"/>
    <x v="104"/>
    <x v="0"/>
    <x v="0"/>
    <x v="0"/>
    <x v="0"/>
    <x v="0"/>
    <x v="1"/>
  </r>
  <r>
    <x v="0"/>
    <x v="0"/>
    <x v="90"/>
    <x v="55"/>
    <x v="102"/>
    <x v="45"/>
    <x v="58"/>
    <x v="1"/>
    <x v="157"/>
    <x v="1"/>
    <x v="165"/>
    <x v="1"/>
    <x v="160"/>
    <x v="1"/>
    <x v="0"/>
    <x v="0"/>
    <x v="0"/>
    <x v="0"/>
    <x v="90"/>
    <x v="55"/>
    <x v="102"/>
    <x v="0"/>
    <x v="0"/>
    <x v="0"/>
    <x v="94"/>
    <x v="36"/>
    <x v="112"/>
    <x v="0"/>
    <x v="105"/>
    <x v="105"/>
    <x v="0"/>
    <x v="0"/>
    <x v="0"/>
    <x v="0"/>
    <x v="0"/>
    <x v="1"/>
  </r>
  <r>
    <x v="0"/>
    <x v="0"/>
    <x v="91"/>
    <x v="56"/>
    <x v="103"/>
    <x v="46"/>
    <x v="58"/>
    <x v="1"/>
    <x v="157"/>
    <x v="1"/>
    <x v="165"/>
    <x v="1"/>
    <x v="160"/>
    <x v="1"/>
    <x v="0"/>
    <x v="0"/>
    <x v="0"/>
    <x v="0"/>
    <x v="91"/>
    <x v="56"/>
    <x v="103"/>
    <x v="0"/>
    <x v="0"/>
    <x v="0"/>
    <x v="98"/>
    <x v="38"/>
    <x v="113"/>
    <x v="0"/>
    <x v="106"/>
    <x v="106"/>
    <x v="0"/>
    <x v="0"/>
    <x v="0"/>
    <x v="0"/>
    <x v="0"/>
    <x v="1"/>
  </r>
  <r>
    <x v="0"/>
    <x v="0"/>
    <x v="92"/>
    <x v="0"/>
    <x v="0"/>
    <x v="0"/>
    <x v="58"/>
    <x v="1"/>
    <x v="157"/>
    <x v="1"/>
    <x v="165"/>
    <x v="1"/>
    <x v="160"/>
    <x v="1"/>
    <x v="0"/>
    <x v="6"/>
    <x v="0"/>
    <x v="0"/>
    <x v="92"/>
    <x v="0"/>
    <x v="0"/>
    <x v="0"/>
    <x v="6"/>
    <x v="49"/>
    <x v="2"/>
    <x v="1"/>
    <x v="0"/>
    <x v="2"/>
    <x v="0"/>
    <x v="0"/>
    <x v="1"/>
    <x v="0"/>
    <x v="1"/>
    <x v="65"/>
    <x v="4"/>
    <x v="1"/>
  </r>
  <r>
    <x v="0"/>
    <x v="0"/>
    <x v="93"/>
    <x v="1"/>
    <x v="1"/>
    <x v="6"/>
    <x v="6"/>
    <x v="1"/>
    <x v="18"/>
    <x v="1"/>
    <x v="24"/>
    <x v="1"/>
    <x v="8"/>
    <x v="1"/>
    <x v="0"/>
    <x v="0"/>
    <x v="0"/>
    <x v="0"/>
    <x v="93"/>
    <x v="1"/>
    <x v="1"/>
    <x v="0"/>
    <x v="7"/>
    <x v="58"/>
    <x v="9"/>
    <x v="10"/>
    <x v="5"/>
    <x v="10"/>
    <x v="1"/>
    <x v="1"/>
    <x v="3"/>
    <x v="0"/>
    <x v="7"/>
    <x v="62"/>
    <x v="6"/>
    <x v="1"/>
  </r>
  <r>
    <x v="0"/>
    <x v="0"/>
    <x v="94"/>
    <x v="9"/>
    <x v="20"/>
    <x v="18"/>
    <x v="7"/>
    <x v="1"/>
    <x v="56"/>
    <x v="1"/>
    <x v="58"/>
    <x v="1"/>
    <x v="30"/>
    <x v="1"/>
    <x v="0"/>
    <x v="0"/>
    <x v="0"/>
    <x v="0"/>
    <x v="94"/>
    <x v="9"/>
    <x v="20"/>
    <x v="0"/>
    <x v="8"/>
    <x v="65"/>
    <x v="73"/>
    <x v="85"/>
    <x v="72"/>
    <x v="26"/>
    <x v="20"/>
    <x v="21"/>
    <x v="1"/>
    <x v="0"/>
    <x v="13"/>
    <x v="55"/>
    <x v="19"/>
    <x v="1"/>
  </r>
  <r>
    <x v="0"/>
    <x v="0"/>
    <x v="95"/>
    <x v="32"/>
    <x v="55"/>
    <x v="38"/>
    <x v="8"/>
    <x v="1"/>
    <x v="98"/>
    <x v="1"/>
    <x v="166"/>
    <x v="0"/>
    <x v="81"/>
    <x v="1"/>
    <x v="0"/>
    <x v="0"/>
    <x v="0"/>
    <x v="0"/>
    <x v="95"/>
    <x v="32"/>
    <x v="55"/>
    <x v="1"/>
    <x v="9"/>
    <x v="65"/>
    <x v="126"/>
    <x v="263"/>
    <x v="233"/>
    <x v="16"/>
    <x v="58"/>
    <x v="58"/>
    <x v="9"/>
    <x v="0"/>
    <x v="9"/>
    <x v="35"/>
    <x v="41"/>
    <x v="0"/>
  </r>
  <r>
    <x v="0"/>
    <x v="0"/>
    <x v="96"/>
    <x v="58"/>
    <x v="80"/>
    <x v="48"/>
    <x v="9"/>
    <x v="1"/>
    <x v="147"/>
    <x v="1"/>
    <x v="166"/>
    <x v="0"/>
    <x v="144"/>
    <x v="1"/>
    <x v="0"/>
    <x v="0"/>
    <x v="0"/>
    <x v="0"/>
    <x v="96"/>
    <x v="58"/>
    <x v="80"/>
    <x v="1"/>
    <x v="76"/>
    <x v="32"/>
    <x v="126"/>
    <x v="166"/>
    <x v="172"/>
    <x v="3"/>
    <x v="83"/>
    <x v="83"/>
    <x v="16"/>
    <x v="0"/>
    <x v="2"/>
    <x v="17"/>
    <x v="83"/>
    <x v="0"/>
  </r>
  <r>
    <x v="0"/>
    <x v="1"/>
    <x v="97"/>
    <x v="36"/>
    <x v="37"/>
    <x v="35"/>
    <x v="7"/>
    <x v="1"/>
    <x v="106"/>
    <x v="1"/>
    <x v="137"/>
    <x v="1"/>
    <x v="141"/>
    <x v="1"/>
    <x v="0"/>
    <x v="0"/>
    <x v="0"/>
    <x v="0"/>
    <x v="97"/>
    <x v="36"/>
    <x v="37"/>
    <x v="1"/>
    <x v="33"/>
    <x v="28"/>
    <x v="138"/>
    <x v="136"/>
    <x v="287"/>
    <x v="3"/>
    <x v="38"/>
    <x v="38"/>
    <x v="12"/>
    <x v="0"/>
    <x v="2"/>
    <x v="31"/>
    <x v="35"/>
    <x v="0"/>
  </r>
  <r>
    <x v="0"/>
    <x v="2"/>
    <x v="98"/>
    <x v="3"/>
    <x v="14"/>
    <x v="1"/>
    <x v="19"/>
    <x v="1"/>
    <x v="15"/>
    <x v="1"/>
    <x v="18"/>
    <x v="1"/>
    <x v="15"/>
    <x v="1"/>
    <x v="0"/>
    <x v="4"/>
    <x v="0"/>
    <x v="0"/>
    <x v="98"/>
    <x v="3"/>
    <x v="14"/>
    <x v="0"/>
    <x v="20"/>
    <x v="158"/>
    <x v="106"/>
    <x v="133"/>
    <x v="93"/>
    <x v="84"/>
    <x v="12"/>
    <x v="13"/>
    <x v="1"/>
    <x v="4"/>
    <x v="18"/>
    <x v="60"/>
    <x v="21"/>
    <x v="1"/>
  </r>
  <r>
    <x v="0"/>
    <x v="0"/>
    <x v="99"/>
    <x v="34"/>
    <x v="69"/>
    <x v="5"/>
    <x v="57"/>
    <x v="0"/>
    <x v="158"/>
    <x v="0"/>
    <x v="166"/>
    <x v="0"/>
    <x v="161"/>
    <x v="0"/>
    <x v="0"/>
    <x v="0"/>
    <x v="0"/>
    <x v="0"/>
    <x v="99"/>
    <x v="34"/>
    <x v="69"/>
    <x v="1"/>
    <x v="75"/>
    <x v="53"/>
    <x v="128"/>
    <x v="199"/>
    <x v="207"/>
    <x v="10"/>
    <x v="72"/>
    <x v="72"/>
    <x v="7"/>
    <x v="0"/>
    <x v="5"/>
    <x v="33"/>
    <x v="82"/>
    <x v="0"/>
  </r>
  <r>
    <x v="0"/>
    <x v="0"/>
    <x v="100"/>
    <x v="42"/>
    <x v="76"/>
    <x v="6"/>
    <x v="57"/>
    <x v="0"/>
    <x v="158"/>
    <x v="0"/>
    <x v="166"/>
    <x v="0"/>
    <x v="161"/>
    <x v="0"/>
    <x v="0"/>
    <x v="0"/>
    <x v="0"/>
    <x v="0"/>
    <x v="100"/>
    <x v="42"/>
    <x v="76"/>
    <x v="1"/>
    <x v="92"/>
    <x v="49"/>
    <x v="146"/>
    <x v="182"/>
    <x v="123"/>
    <x v="10"/>
    <x v="79"/>
    <x v="79"/>
    <x v="15"/>
    <x v="0"/>
    <x v="5"/>
    <x v="26"/>
    <x v="98"/>
    <x v="0"/>
  </r>
  <r>
    <x v="0"/>
    <x v="0"/>
    <x v="101"/>
    <x v="49"/>
    <x v="82"/>
    <x v="7"/>
    <x v="57"/>
    <x v="0"/>
    <x v="158"/>
    <x v="0"/>
    <x v="166"/>
    <x v="0"/>
    <x v="161"/>
    <x v="0"/>
    <x v="0"/>
    <x v="0"/>
    <x v="0"/>
    <x v="0"/>
    <x v="101"/>
    <x v="49"/>
    <x v="82"/>
    <x v="1"/>
    <x v="98"/>
    <x v="46"/>
    <x v="126"/>
    <x v="194"/>
    <x v="129"/>
    <x v="10"/>
    <x v="85"/>
    <x v="85"/>
    <x v="2"/>
    <x v="0"/>
    <x v="5"/>
    <x v="22"/>
    <x v="105"/>
    <x v="0"/>
  </r>
  <r>
    <x v="0"/>
    <x v="0"/>
    <x v="102"/>
    <x v="53"/>
    <x v="95"/>
    <x v="8"/>
    <x v="57"/>
    <x v="0"/>
    <x v="158"/>
    <x v="0"/>
    <x v="166"/>
    <x v="0"/>
    <x v="161"/>
    <x v="0"/>
    <x v="0"/>
    <x v="0"/>
    <x v="0"/>
    <x v="0"/>
    <x v="102"/>
    <x v="53"/>
    <x v="95"/>
    <x v="1"/>
    <x v="105"/>
    <x v="45"/>
    <x v="150"/>
    <x v="222"/>
    <x v="169"/>
    <x v="10"/>
    <x v="98"/>
    <x v="98"/>
    <x v="2"/>
    <x v="0"/>
    <x v="5"/>
    <x v="18"/>
    <x v="112"/>
    <x v="0"/>
  </r>
  <r>
    <x v="0"/>
    <x v="0"/>
    <x v="103"/>
    <x v="59"/>
    <x v="104"/>
    <x v="9"/>
    <x v="57"/>
    <x v="0"/>
    <x v="158"/>
    <x v="0"/>
    <x v="166"/>
    <x v="0"/>
    <x v="161"/>
    <x v="0"/>
    <x v="0"/>
    <x v="0"/>
    <x v="0"/>
    <x v="0"/>
    <x v="103"/>
    <x v="59"/>
    <x v="104"/>
    <x v="1"/>
    <x v="107"/>
    <x v="44"/>
    <x v="134"/>
    <x v="237"/>
    <x v="163"/>
    <x v="10"/>
    <x v="107"/>
    <x v="107"/>
    <x v="7"/>
    <x v="0"/>
    <x v="5"/>
    <x v="16"/>
    <x v="114"/>
    <x v="0"/>
  </r>
  <r>
    <x v="0"/>
    <x v="0"/>
    <x v="104"/>
    <x v="2"/>
    <x v="10"/>
    <x v="0"/>
    <x v="19"/>
    <x v="1"/>
    <x v="0"/>
    <x v="1"/>
    <x v="5"/>
    <x v="1"/>
    <x v="2"/>
    <x v="1"/>
    <x v="0"/>
    <x v="0"/>
    <x v="0"/>
    <x v="0"/>
    <x v="104"/>
    <x v="2"/>
    <x v="10"/>
    <x v="0"/>
    <x v="20"/>
    <x v="158"/>
    <x v="55"/>
    <x v="70"/>
    <x v="15"/>
    <x v="56"/>
    <x v="7"/>
    <x v="8"/>
    <x v="0"/>
    <x v="4"/>
    <x v="15"/>
    <x v="61"/>
    <x v="16"/>
    <x v="1"/>
  </r>
  <r>
    <x v="0"/>
    <x v="0"/>
    <x v="105"/>
    <x v="6"/>
    <x v="24"/>
    <x v="1"/>
    <x v="27"/>
    <x v="1"/>
    <x v="47"/>
    <x v="1"/>
    <x v="39"/>
    <x v="1"/>
    <x v="57"/>
    <x v="1"/>
    <x v="0"/>
    <x v="0"/>
    <x v="0"/>
    <x v="0"/>
    <x v="105"/>
    <x v="6"/>
    <x v="24"/>
    <x v="0"/>
    <x v="28"/>
    <x v="183"/>
    <x v="123"/>
    <x v="252"/>
    <x v="180"/>
    <x v="103"/>
    <x v="26"/>
    <x v="25"/>
    <x v="1"/>
    <x v="15"/>
    <x v="23"/>
    <x v="58"/>
    <x v="26"/>
    <x v="1"/>
  </r>
  <r>
    <x v="0"/>
    <x v="0"/>
    <x v="106"/>
    <x v="10"/>
    <x v="39"/>
    <x v="2"/>
    <x v="34"/>
    <x v="1"/>
    <x v="93"/>
    <x v="1"/>
    <x v="158"/>
    <x v="1"/>
    <x v="161"/>
    <x v="0"/>
    <x v="0"/>
    <x v="0"/>
    <x v="0"/>
    <x v="0"/>
    <x v="106"/>
    <x v="10"/>
    <x v="39"/>
    <x v="1"/>
    <x v="35"/>
    <x v="39"/>
    <x v="127"/>
    <x v="239"/>
    <x v="309"/>
    <x v="16"/>
    <x v="40"/>
    <x v="40"/>
    <x v="3"/>
    <x v="13"/>
    <x v="9"/>
    <x v="54"/>
    <x v="37"/>
    <x v="0"/>
  </r>
  <r>
    <x v="0"/>
    <x v="0"/>
    <x v="107"/>
    <x v="33"/>
    <x v="68"/>
    <x v="3"/>
    <x v="57"/>
    <x v="0"/>
    <x v="158"/>
    <x v="0"/>
    <x v="166"/>
    <x v="0"/>
    <x v="161"/>
    <x v="0"/>
    <x v="0"/>
    <x v="0"/>
    <x v="0"/>
    <x v="0"/>
    <x v="107"/>
    <x v="33"/>
    <x v="68"/>
    <x v="1"/>
    <x v="73"/>
    <x v="50"/>
    <x v="129"/>
    <x v="180"/>
    <x v="205"/>
    <x v="10"/>
    <x v="71"/>
    <x v="71"/>
    <x v="9"/>
    <x v="0"/>
    <x v="5"/>
    <x v="34"/>
    <x v="80"/>
    <x v="0"/>
  </r>
  <r>
    <x v="0"/>
    <x v="0"/>
    <x v="108"/>
    <x v="18"/>
    <x v="53"/>
    <x v="3"/>
    <x v="38"/>
    <x v="1"/>
    <x v="136"/>
    <x v="1"/>
    <x v="166"/>
    <x v="0"/>
    <x v="161"/>
    <x v="0"/>
    <x v="0"/>
    <x v="0"/>
    <x v="0"/>
    <x v="0"/>
    <x v="108"/>
    <x v="18"/>
    <x v="53"/>
    <x v="1"/>
    <x v="43"/>
    <x v="72"/>
    <x v="127"/>
    <x v="290"/>
    <x v="240"/>
    <x v="87"/>
    <x v="55"/>
    <x v="55"/>
    <x v="4"/>
    <x v="14"/>
    <x v="41"/>
    <x v="46"/>
    <x v="49"/>
    <x v="0"/>
  </r>
  <r>
    <x v="0"/>
    <x v="0"/>
    <x v="109"/>
    <x v="27"/>
    <x v="61"/>
    <x v="4"/>
    <x v="43"/>
    <x v="1"/>
    <x v="155"/>
    <x v="1"/>
    <x v="166"/>
    <x v="0"/>
    <x v="161"/>
    <x v="0"/>
    <x v="0"/>
    <x v="0"/>
    <x v="0"/>
    <x v="0"/>
    <x v="109"/>
    <x v="27"/>
    <x v="61"/>
    <x v="1"/>
    <x v="57"/>
    <x v="61"/>
    <x v="131"/>
    <x v="254"/>
    <x v="196"/>
    <x v="61"/>
    <x v="64"/>
    <x v="64"/>
    <x v="6"/>
    <x v="0"/>
    <x v="46"/>
    <x v="39"/>
    <x v="66"/>
    <x v="0"/>
  </r>
  <r>
    <x v="0"/>
    <x v="0"/>
    <x v="110"/>
    <x v="43"/>
    <x v="16"/>
    <x v="39"/>
    <x v="58"/>
    <x v="1"/>
    <x v="157"/>
    <x v="1"/>
    <x v="165"/>
    <x v="1"/>
    <x v="160"/>
    <x v="1"/>
    <x v="0"/>
    <x v="0"/>
    <x v="0"/>
    <x v="0"/>
    <x v="110"/>
    <x v="43"/>
    <x v="16"/>
    <x v="0"/>
    <x v="0"/>
    <x v="0"/>
    <x v="26"/>
    <x v="17"/>
    <x v="50"/>
    <x v="0"/>
    <x v="19"/>
    <x v="18"/>
    <x v="92"/>
    <x v="0"/>
    <x v="0"/>
    <x v="0"/>
    <x v="0"/>
    <x v="1"/>
  </r>
  <r>
    <x v="0"/>
    <x v="0"/>
    <x v="111"/>
    <x v="43"/>
    <x v="108"/>
    <x v="2"/>
    <x v="56"/>
    <x v="1"/>
    <x v="20"/>
    <x v="1"/>
    <x v="21"/>
    <x v="1"/>
    <x v="10"/>
    <x v="1"/>
    <x v="0"/>
    <x v="29"/>
    <x v="0"/>
    <x v="0"/>
    <x v="111"/>
    <x v="43"/>
    <x v="108"/>
    <x v="1"/>
    <x v="96"/>
    <x v="34"/>
    <x v="154"/>
    <x v="202"/>
    <x v="187"/>
    <x v="8"/>
    <x v="111"/>
    <x v="111"/>
    <x v="0"/>
    <x v="0"/>
    <x v="7"/>
    <x v="25"/>
    <x v="102"/>
    <x v="0"/>
  </r>
  <r>
    <x v="0"/>
    <x v="0"/>
    <x v="112"/>
    <x v="43"/>
    <x v="98"/>
    <x v="0"/>
    <x v="53"/>
    <x v="1"/>
    <x v="133"/>
    <x v="1"/>
    <x v="166"/>
    <x v="0"/>
    <x v="161"/>
    <x v="0"/>
    <x v="0"/>
    <x v="8"/>
    <x v="0"/>
    <x v="0"/>
    <x v="112"/>
    <x v="43"/>
    <x v="98"/>
    <x v="1"/>
    <x v="109"/>
    <x v="14"/>
    <x v="132"/>
    <x v="200"/>
    <x v="141"/>
    <x v="6"/>
    <x v="101"/>
    <x v="101"/>
    <x v="5"/>
    <x v="0"/>
    <x v="5"/>
    <x v="25"/>
    <x v="116"/>
    <x v="0"/>
  </r>
  <r>
    <x v="0"/>
    <x v="2"/>
    <x v="113"/>
    <x v="47"/>
    <x v="49"/>
    <x v="33"/>
    <x v="6"/>
    <x v="1"/>
    <x v="112"/>
    <x v="1"/>
    <x v="115"/>
    <x v="1"/>
    <x v="127"/>
    <x v="1"/>
    <x v="0"/>
    <x v="0"/>
    <x v="0"/>
    <x v="0"/>
    <x v="113"/>
    <x v="47"/>
    <x v="49"/>
    <x v="1"/>
    <x v="23"/>
    <x v="27"/>
    <x v="133"/>
    <x v="238"/>
    <x v="191"/>
    <x v="31"/>
    <x v="53"/>
    <x v="52"/>
    <x v="16"/>
    <x v="0"/>
    <x v="13"/>
    <x v="13"/>
    <x v="81"/>
    <x v="0"/>
  </r>
  <r>
    <x v="0"/>
    <x v="2"/>
    <x v="114"/>
    <x v="26"/>
    <x v="51"/>
    <x v="2"/>
    <x v="30"/>
    <x v="1"/>
    <x v="118"/>
    <x v="1"/>
    <x v="166"/>
    <x v="0"/>
    <x v="161"/>
    <x v="0"/>
    <x v="0"/>
    <x v="0"/>
    <x v="0"/>
    <x v="0"/>
    <x v="114"/>
    <x v="26"/>
    <x v="51"/>
    <x v="1"/>
    <x v="49"/>
    <x v="48"/>
    <x v="151"/>
    <x v="282"/>
    <x v="226"/>
    <x v="41"/>
    <x v="54"/>
    <x v="54"/>
    <x v="29"/>
    <x v="0"/>
    <x v="18"/>
    <x v="40"/>
    <x v="64"/>
    <x v="0"/>
  </r>
  <r>
    <x v="0"/>
    <x v="2"/>
    <x v="115"/>
    <x v="20"/>
    <x v="35"/>
    <x v="7"/>
    <x v="19"/>
    <x v="1"/>
    <x v="111"/>
    <x v="1"/>
    <x v="166"/>
    <x v="0"/>
    <x v="161"/>
    <x v="0"/>
    <x v="0"/>
    <x v="0"/>
    <x v="0"/>
    <x v="0"/>
    <x v="115"/>
    <x v="20"/>
    <x v="35"/>
    <x v="1"/>
    <x v="44"/>
    <x v="60"/>
    <x v="131"/>
    <x v="269"/>
    <x v="274"/>
    <x v="45"/>
    <x v="36"/>
    <x v="36"/>
    <x v="12"/>
    <x v="0"/>
    <x v="13"/>
    <x v="44"/>
    <x v="47"/>
    <x v="0"/>
  </r>
  <r>
    <x v="0"/>
    <x v="2"/>
    <x v="116"/>
    <x v="46"/>
    <x v="42"/>
    <x v="33"/>
    <x v="4"/>
    <x v="1"/>
    <x v="91"/>
    <x v="1"/>
    <x v="122"/>
    <x v="1"/>
    <x v="98"/>
    <x v="1"/>
    <x v="0"/>
    <x v="0"/>
    <x v="0"/>
    <x v="0"/>
    <x v="116"/>
    <x v="46"/>
    <x v="42"/>
    <x v="0"/>
    <x v="5"/>
    <x v="31"/>
    <x v="102"/>
    <x v="100"/>
    <x v="85"/>
    <x v="9"/>
    <x v="44"/>
    <x v="44"/>
    <x v="44"/>
    <x v="0"/>
    <x v="4"/>
    <x v="13"/>
    <x v="34"/>
    <x v="1"/>
  </r>
  <r>
    <x v="0"/>
    <x v="2"/>
    <x v="117"/>
    <x v="14"/>
    <x v="26"/>
    <x v="5"/>
    <x v="6"/>
    <x v="1"/>
    <x v="45"/>
    <x v="1"/>
    <x v="34"/>
    <x v="1"/>
    <x v="36"/>
    <x v="1"/>
    <x v="0"/>
    <x v="0"/>
    <x v="0"/>
    <x v="0"/>
    <x v="117"/>
    <x v="14"/>
    <x v="26"/>
    <x v="0"/>
    <x v="7"/>
    <x v="58"/>
    <x v="109"/>
    <x v="131"/>
    <x v="100"/>
    <x v="45"/>
    <x v="27"/>
    <x v="27"/>
    <x v="14"/>
    <x v="0"/>
    <x v="8"/>
    <x v="50"/>
    <x v="36"/>
    <x v="1"/>
  </r>
  <r>
    <x v="1"/>
    <x v="0"/>
    <x v="0"/>
    <x v="3"/>
    <x v="4"/>
    <x v="9"/>
    <x v="10"/>
    <x v="1"/>
    <x v="49"/>
    <x v="1"/>
    <x v="30"/>
    <x v="1"/>
    <x v="11"/>
    <x v="1"/>
    <x v="0"/>
    <x v="0"/>
    <x v="0"/>
    <x v="0"/>
    <x v="0"/>
    <x v="3"/>
    <x v="4"/>
    <x v="0"/>
    <x v="11"/>
    <x v="96"/>
    <x v="23"/>
    <x v="40"/>
    <x v="10"/>
    <x v="11"/>
    <x v="4"/>
    <x v="4"/>
    <x v="5"/>
    <x v="0"/>
    <x v="9"/>
    <x v="121"/>
    <x v="14"/>
    <x v="1"/>
  </r>
  <r>
    <x v="1"/>
    <x v="0"/>
    <x v="1"/>
    <x v="31"/>
    <x v="44"/>
    <x v="37"/>
    <x v="12"/>
    <x v="1"/>
    <x v="158"/>
    <x v="0"/>
    <x v="166"/>
    <x v="0"/>
    <x v="105"/>
    <x v="1"/>
    <x v="0"/>
    <x v="0"/>
    <x v="0"/>
    <x v="0"/>
    <x v="1"/>
    <x v="31"/>
    <x v="44"/>
    <x v="1"/>
    <x v="18"/>
    <x v="80"/>
    <x v="127"/>
    <x v="207"/>
    <x v="304"/>
    <x v="2"/>
    <x v="47"/>
    <x v="47"/>
    <x v="15"/>
    <x v="0"/>
    <x v="1"/>
    <x v="103"/>
    <x v="37"/>
    <x v="0"/>
  </r>
  <r>
    <x v="1"/>
    <x v="0"/>
    <x v="2"/>
    <x v="20"/>
    <x v="19"/>
    <x v="26"/>
    <x v="11"/>
    <x v="1"/>
    <x v="158"/>
    <x v="0"/>
    <x v="128"/>
    <x v="1"/>
    <x v="64"/>
    <x v="1"/>
    <x v="0"/>
    <x v="0"/>
    <x v="0"/>
    <x v="0"/>
    <x v="2"/>
    <x v="20"/>
    <x v="19"/>
    <x v="0"/>
    <x v="12"/>
    <x v="105"/>
    <x v="56"/>
    <x v="65"/>
    <x v="45"/>
    <x v="8"/>
    <x v="21"/>
    <x v="20"/>
    <x v="5"/>
    <x v="0"/>
    <x v="4"/>
    <x v="110"/>
    <x v="24"/>
    <x v="1"/>
  </r>
  <r>
    <x v="1"/>
    <x v="0"/>
    <x v="3"/>
    <x v="11"/>
    <x v="15"/>
    <x v="20"/>
    <x v="12"/>
    <x v="1"/>
    <x v="152"/>
    <x v="1"/>
    <x v="105"/>
    <x v="1"/>
    <x v="47"/>
    <x v="1"/>
    <x v="0"/>
    <x v="0"/>
    <x v="0"/>
    <x v="0"/>
    <x v="3"/>
    <x v="11"/>
    <x v="15"/>
    <x v="1"/>
    <x v="13"/>
    <x v="92"/>
    <x v="135"/>
    <x v="276"/>
    <x v="308"/>
    <x v="28"/>
    <x v="17"/>
    <x v="16"/>
    <x v="4"/>
    <x v="0"/>
    <x v="13"/>
    <x v="116"/>
    <x v="25"/>
    <x v="0"/>
  </r>
  <r>
    <x v="1"/>
    <x v="0"/>
    <x v="4"/>
    <x v="7"/>
    <x v="2"/>
    <x v="13"/>
    <x v="9"/>
    <x v="1"/>
    <x v="101"/>
    <x v="1"/>
    <x v="63"/>
    <x v="1"/>
    <x v="18"/>
    <x v="1"/>
    <x v="0"/>
    <x v="0"/>
    <x v="0"/>
    <x v="0"/>
    <x v="4"/>
    <x v="7"/>
    <x v="2"/>
    <x v="0"/>
    <x v="10"/>
    <x v="84"/>
    <x v="4"/>
    <x v="4"/>
    <x v="2"/>
    <x v="1"/>
    <x v="2"/>
    <x v="2"/>
    <x v="1"/>
    <x v="0"/>
    <x v="1"/>
    <x v="120"/>
    <x v="16"/>
    <x v="1"/>
  </r>
  <r>
    <x v="1"/>
    <x v="0"/>
    <x v="5"/>
    <x v="51"/>
    <x v="41"/>
    <x v="43"/>
    <x v="10"/>
    <x v="1"/>
    <x v="158"/>
    <x v="0"/>
    <x v="166"/>
    <x v="0"/>
    <x v="132"/>
    <x v="1"/>
    <x v="0"/>
    <x v="0"/>
    <x v="0"/>
    <x v="0"/>
    <x v="5"/>
    <x v="51"/>
    <x v="41"/>
    <x v="0"/>
    <x v="11"/>
    <x v="96"/>
    <x v="86"/>
    <x v="95"/>
    <x v="76"/>
    <x v="6"/>
    <x v="43"/>
    <x v="43"/>
    <x v="6"/>
    <x v="0"/>
    <x v="3"/>
    <x v="88"/>
    <x v="44"/>
    <x v="1"/>
  </r>
  <r>
    <x v="1"/>
    <x v="0"/>
    <x v="6"/>
    <x v="26"/>
    <x v="30"/>
    <x v="31"/>
    <x v="13"/>
    <x v="1"/>
    <x v="158"/>
    <x v="0"/>
    <x v="166"/>
    <x v="0"/>
    <x v="122"/>
    <x v="1"/>
    <x v="0"/>
    <x v="0"/>
    <x v="0"/>
    <x v="0"/>
    <x v="6"/>
    <x v="26"/>
    <x v="30"/>
    <x v="1"/>
    <x v="29"/>
    <x v="81"/>
    <x v="126"/>
    <x v="170"/>
    <x v="279"/>
    <x v="2"/>
    <x v="32"/>
    <x v="31"/>
    <x v="7"/>
    <x v="0"/>
    <x v="1"/>
    <x v="106"/>
    <x v="31"/>
    <x v="0"/>
  </r>
  <r>
    <x v="1"/>
    <x v="0"/>
    <x v="7"/>
    <x v="13"/>
    <x v="5"/>
    <x v="21"/>
    <x v="10"/>
    <x v="1"/>
    <x v="158"/>
    <x v="0"/>
    <x v="78"/>
    <x v="1"/>
    <x v="51"/>
    <x v="1"/>
    <x v="0"/>
    <x v="0"/>
    <x v="0"/>
    <x v="0"/>
    <x v="7"/>
    <x v="13"/>
    <x v="5"/>
    <x v="0"/>
    <x v="11"/>
    <x v="96"/>
    <x v="40"/>
    <x v="55"/>
    <x v="15"/>
    <x v="18"/>
    <x v="5"/>
    <x v="5"/>
    <x v="5"/>
    <x v="0"/>
    <x v="12"/>
    <x v="115"/>
    <x v="15"/>
    <x v="1"/>
  </r>
  <r>
    <x v="1"/>
    <x v="0"/>
    <x v="8"/>
    <x v="38"/>
    <x v="41"/>
    <x v="41"/>
    <x v="14"/>
    <x v="1"/>
    <x v="158"/>
    <x v="0"/>
    <x v="166"/>
    <x v="0"/>
    <x v="146"/>
    <x v="1"/>
    <x v="0"/>
    <x v="0"/>
    <x v="0"/>
    <x v="0"/>
    <x v="8"/>
    <x v="38"/>
    <x v="41"/>
    <x v="1"/>
    <x v="36"/>
    <x v="78"/>
    <x v="128"/>
    <x v="219"/>
    <x v="263"/>
    <x v="1"/>
    <x v="42"/>
    <x v="42"/>
    <x v="9"/>
    <x v="0"/>
    <x v="1"/>
    <x v="97"/>
    <x v="38"/>
    <x v="0"/>
  </r>
  <r>
    <x v="1"/>
    <x v="0"/>
    <x v="9"/>
    <x v="25"/>
    <x v="8"/>
    <x v="33"/>
    <x v="10"/>
    <x v="1"/>
    <x v="158"/>
    <x v="0"/>
    <x v="104"/>
    <x v="1"/>
    <x v="102"/>
    <x v="1"/>
    <x v="0"/>
    <x v="0"/>
    <x v="0"/>
    <x v="0"/>
    <x v="9"/>
    <x v="25"/>
    <x v="8"/>
    <x v="0"/>
    <x v="11"/>
    <x v="96"/>
    <x v="79"/>
    <x v="93"/>
    <x v="68"/>
    <x v="17"/>
    <x v="10"/>
    <x v="9"/>
    <x v="4"/>
    <x v="0"/>
    <x v="6"/>
    <x v="107"/>
    <x v="22"/>
    <x v="1"/>
  </r>
  <r>
    <x v="1"/>
    <x v="0"/>
    <x v="10"/>
    <x v="52"/>
    <x v="56"/>
    <x v="42"/>
    <x v="14"/>
    <x v="1"/>
    <x v="158"/>
    <x v="0"/>
    <x v="166"/>
    <x v="0"/>
    <x v="154"/>
    <x v="1"/>
    <x v="0"/>
    <x v="0"/>
    <x v="0"/>
    <x v="0"/>
    <x v="10"/>
    <x v="52"/>
    <x v="56"/>
    <x v="1"/>
    <x v="19"/>
    <x v="82"/>
    <x v="128"/>
    <x v="246"/>
    <x v="256"/>
    <x v="19"/>
    <x v="59"/>
    <x v="59"/>
    <x v="10"/>
    <x v="0"/>
    <x v="15"/>
    <x v="87"/>
    <x v="56"/>
    <x v="0"/>
  </r>
  <r>
    <x v="1"/>
    <x v="1"/>
    <x v="11"/>
    <x v="37"/>
    <x v="36"/>
    <x v="40"/>
    <x v="5"/>
    <x v="1"/>
    <x v="107"/>
    <x v="1"/>
    <x v="157"/>
    <x v="1"/>
    <x v="68"/>
    <x v="1"/>
    <x v="0"/>
    <x v="0"/>
    <x v="0"/>
    <x v="0"/>
    <x v="11"/>
    <x v="37"/>
    <x v="36"/>
    <x v="0"/>
    <x v="6"/>
    <x v="49"/>
    <x v="117"/>
    <x v="98"/>
    <x v="137"/>
    <x v="9"/>
    <x v="37"/>
    <x v="37"/>
    <x v="17"/>
    <x v="0"/>
    <x v="7"/>
    <x v="67"/>
    <x v="5"/>
    <x v="1"/>
  </r>
  <r>
    <x v="1"/>
    <x v="0"/>
    <x v="12"/>
    <x v="48"/>
    <x v="40"/>
    <x v="44"/>
    <x v="0"/>
    <x v="1"/>
    <x v="16"/>
    <x v="1"/>
    <x v="134"/>
    <x v="1"/>
    <x v="0"/>
    <x v="1"/>
    <x v="0"/>
    <x v="0"/>
    <x v="0"/>
    <x v="0"/>
    <x v="12"/>
    <x v="48"/>
    <x v="40"/>
    <x v="1"/>
    <x v="13"/>
    <x v="1"/>
    <x v="126"/>
    <x v="106"/>
    <x v="183"/>
    <x v="0"/>
    <x v="41"/>
    <x v="41"/>
    <x v="107"/>
    <x v="0"/>
    <x v="0"/>
    <x v="0"/>
    <x v="0"/>
    <x v="0"/>
  </r>
  <r>
    <x v="1"/>
    <x v="2"/>
    <x v="14"/>
    <x v="28"/>
    <x v="18"/>
    <x v="23"/>
    <x v="15"/>
    <x v="1"/>
    <x v="158"/>
    <x v="0"/>
    <x v="125"/>
    <x v="1"/>
    <x v="161"/>
    <x v="0"/>
    <x v="0"/>
    <x v="0"/>
    <x v="0"/>
    <x v="0"/>
    <x v="14"/>
    <x v="28"/>
    <x v="18"/>
    <x v="1"/>
    <x v="17"/>
    <x v="109"/>
    <x v="126"/>
    <x v="319"/>
    <x v="290"/>
    <x v="81"/>
    <x v="19"/>
    <x v="19"/>
    <x v="21"/>
    <x v="0"/>
    <x v="17"/>
    <x v="105"/>
    <x v="37"/>
    <x v="0"/>
  </r>
  <r>
    <x v="1"/>
    <x v="2"/>
    <x v="15"/>
    <x v="35"/>
    <x v="28"/>
    <x v="24"/>
    <x v="20"/>
    <x v="1"/>
    <x v="158"/>
    <x v="0"/>
    <x v="154"/>
    <x v="1"/>
    <x v="161"/>
    <x v="0"/>
    <x v="0"/>
    <x v="0"/>
    <x v="0"/>
    <x v="0"/>
    <x v="15"/>
    <x v="35"/>
    <x v="28"/>
    <x v="1"/>
    <x v="21"/>
    <x v="101"/>
    <x v="126"/>
    <x v="310"/>
    <x v="242"/>
    <x v="86"/>
    <x v="31"/>
    <x v="30"/>
    <x v="33"/>
    <x v="0"/>
    <x v="29"/>
    <x v="99"/>
    <x v="58"/>
    <x v="0"/>
  </r>
  <r>
    <x v="1"/>
    <x v="2"/>
    <x v="16"/>
    <x v="28"/>
    <x v="46"/>
    <x v="9"/>
    <x v="57"/>
    <x v="0"/>
    <x v="158"/>
    <x v="0"/>
    <x v="166"/>
    <x v="0"/>
    <x v="161"/>
    <x v="0"/>
    <x v="0"/>
    <x v="0"/>
    <x v="0"/>
    <x v="0"/>
    <x v="16"/>
    <x v="28"/>
    <x v="46"/>
    <x v="1"/>
    <x v="54"/>
    <x v="105"/>
    <x v="126"/>
    <x v="267"/>
    <x v="272"/>
    <x v="70"/>
    <x v="48"/>
    <x v="48"/>
    <x v="3"/>
    <x v="0"/>
    <x v="42"/>
    <x v="105"/>
    <x v="63"/>
    <x v="0"/>
  </r>
  <r>
    <x v="1"/>
    <x v="2"/>
    <x v="17"/>
    <x v="8"/>
    <x v="6"/>
    <x v="8"/>
    <x v="15"/>
    <x v="1"/>
    <x v="78"/>
    <x v="1"/>
    <x v="51"/>
    <x v="1"/>
    <x v="72"/>
    <x v="1"/>
    <x v="0"/>
    <x v="0"/>
    <x v="0"/>
    <x v="0"/>
    <x v="17"/>
    <x v="8"/>
    <x v="6"/>
    <x v="0"/>
    <x v="16"/>
    <x v="139"/>
    <x v="74"/>
    <x v="90"/>
    <x v="70"/>
    <x v="60"/>
    <x v="6"/>
    <x v="6"/>
    <x v="26"/>
    <x v="0"/>
    <x v="9"/>
    <x v="119"/>
    <x v="18"/>
    <x v="1"/>
  </r>
  <r>
    <x v="1"/>
    <x v="2"/>
    <x v="18"/>
    <x v="10"/>
    <x v="13"/>
    <x v="11"/>
    <x v="15"/>
    <x v="1"/>
    <x v="109"/>
    <x v="1"/>
    <x v="80"/>
    <x v="1"/>
    <x v="99"/>
    <x v="1"/>
    <x v="0"/>
    <x v="0"/>
    <x v="0"/>
    <x v="0"/>
    <x v="18"/>
    <x v="10"/>
    <x v="13"/>
    <x v="0"/>
    <x v="16"/>
    <x v="139"/>
    <x v="83"/>
    <x v="96"/>
    <x v="84"/>
    <x v="56"/>
    <x v="15"/>
    <x v="15"/>
    <x v="19"/>
    <x v="0"/>
    <x v="9"/>
    <x v="117"/>
    <x v="23"/>
    <x v="1"/>
  </r>
  <r>
    <x v="1"/>
    <x v="2"/>
    <x v="19"/>
    <x v="40"/>
    <x v="43"/>
    <x v="26"/>
    <x v="22"/>
    <x v="1"/>
    <x v="158"/>
    <x v="0"/>
    <x v="126"/>
    <x v="1"/>
    <x v="161"/>
    <x v="0"/>
    <x v="0"/>
    <x v="0"/>
    <x v="0"/>
    <x v="0"/>
    <x v="19"/>
    <x v="40"/>
    <x v="43"/>
    <x v="1"/>
    <x v="71"/>
    <x v="98"/>
    <x v="133"/>
    <x v="272"/>
    <x v="227"/>
    <x v="35"/>
    <x v="46"/>
    <x v="46"/>
    <x v="37"/>
    <x v="0"/>
    <x v="18"/>
    <x v="95"/>
    <x v="77"/>
    <x v="0"/>
  </r>
  <r>
    <x v="1"/>
    <x v="2"/>
    <x v="21"/>
    <x v="49"/>
    <x v="70"/>
    <x v="7"/>
    <x v="57"/>
    <x v="0"/>
    <x v="158"/>
    <x v="0"/>
    <x v="166"/>
    <x v="0"/>
    <x v="161"/>
    <x v="0"/>
    <x v="0"/>
    <x v="0"/>
    <x v="0"/>
    <x v="0"/>
    <x v="21"/>
    <x v="49"/>
    <x v="70"/>
    <x v="1"/>
    <x v="97"/>
    <x v="91"/>
    <x v="137"/>
    <x v="236"/>
    <x v="203"/>
    <x v="5"/>
    <x v="73"/>
    <x v="73"/>
    <x v="27"/>
    <x v="0"/>
    <x v="3"/>
    <x v="90"/>
    <x v="104"/>
    <x v="0"/>
  </r>
  <r>
    <x v="1"/>
    <x v="2"/>
    <x v="23"/>
    <x v="17"/>
    <x v="17"/>
    <x v="13"/>
    <x v="16"/>
    <x v="1"/>
    <x v="158"/>
    <x v="0"/>
    <x v="81"/>
    <x v="1"/>
    <x v="153"/>
    <x v="1"/>
    <x v="0"/>
    <x v="0"/>
    <x v="0"/>
    <x v="0"/>
    <x v="23"/>
    <x v="17"/>
    <x v="17"/>
    <x v="0"/>
    <x v="17"/>
    <x v="143"/>
    <x v="122"/>
    <x v="250"/>
    <x v="230"/>
    <x v="96"/>
    <x v="18"/>
    <x v="17"/>
    <x v="30"/>
    <x v="0"/>
    <x v="22"/>
    <x v="112"/>
    <x v="35"/>
    <x v="1"/>
  </r>
  <r>
    <x v="1"/>
    <x v="2"/>
    <x v="24"/>
    <x v="22"/>
    <x v="50"/>
    <x v="8"/>
    <x v="57"/>
    <x v="0"/>
    <x v="158"/>
    <x v="0"/>
    <x v="166"/>
    <x v="0"/>
    <x v="161"/>
    <x v="0"/>
    <x v="0"/>
    <x v="0"/>
    <x v="0"/>
    <x v="0"/>
    <x v="24"/>
    <x v="22"/>
    <x v="50"/>
    <x v="1"/>
    <x v="47"/>
    <x v="100"/>
    <x v="132"/>
    <x v="195"/>
    <x v="292"/>
    <x v="40"/>
    <x v="52"/>
    <x v="53"/>
    <x v="1"/>
    <x v="0"/>
    <x v="32"/>
    <x v="108"/>
    <x v="53"/>
    <x v="0"/>
  </r>
  <r>
    <x v="1"/>
    <x v="2"/>
    <x v="25"/>
    <x v="33"/>
    <x v="58"/>
    <x v="5"/>
    <x v="57"/>
    <x v="0"/>
    <x v="158"/>
    <x v="0"/>
    <x v="166"/>
    <x v="0"/>
    <x v="161"/>
    <x v="0"/>
    <x v="0"/>
    <x v="0"/>
    <x v="0"/>
    <x v="0"/>
    <x v="25"/>
    <x v="33"/>
    <x v="58"/>
    <x v="1"/>
    <x v="66"/>
    <x v="99"/>
    <x v="126"/>
    <x v="241"/>
    <x v="270"/>
    <x v="79"/>
    <x v="61"/>
    <x v="61"/>
    <x v="9"/>
    <x v="0"/>
    <x v="50"/>
    <x v="101"/>
    <x v="116"/>
    <x v="0"/>
  </r>
  <r>
    <x v="1"/>
    <x v="1"/>
    <x v="26"/>
    <x v="61"/>
    <x v="79"/>
    <x v="49"/>
    <x v="0"/>
    <x v="1"/>
    <x v="85"/>
    <x v="1"/>
    <x v="166"/>
    <x v="0"/>
    <x v="2"/>
    <x v="1"/>
    <x v="0"/>
    <x v="0"/>
    <x v="0"/>
    <x v="0"/>
    <x v="26"/>
    <x v="61"/>
    <x v="79"/>
    <x v="1"/>
    <x v="109"/>
    <x v="1"/>
    <x v="149"/>
    <x v="121"/>
    <x v="150"/>
    <x v="0"/>
    <x v="82"/>
    <x v="82"/>
    <x v="105"/>
    <x v="0"/>
    <x v="0"/>
    <x v="0"/>
    <x v="0"/>
    <x v="0"/>
  </r>
  <r>
    <x v="1"/>
    <x v="1"/>
    <x v="27"/>
    <x v="8"/>
    <x v="12"/>
    <x v="12"/>
    <x v="11"/>
    <x v="1"/>
    <x v="71"/>
    <x v="1"/>
    <x v="43"/>
    <x v="1"/>
    <x v="29"/>
    <x v="1"/>
    <x v="0"/>
    <x v="2"/>
    <x v="0"/>
    <x v="0"/>
    <x v="27"/>
    <x v="8"/>
    <x v="12"/>
    <x v="0"/>
    <x v="12"/>
    <x v="105"/>
    <x v="18"/>
    <x v="19"/>
    <x v="10"/>
    <x v="4"/>
    <x v="11"/>
    <x v="11"/>
    <x v="0"/>
    <x v="0"/>
    <x v="2"/>
    <x v="119"/>
    <x v="10"/>
    <x v="1"/>
  </r>
  <r>
    <x v="1"/>
    <x v="0"/>
    <x v="29"/>
    <x v="29"/>
    <x v="34"/>
    <x v="30"/>
    <x v="58"/>
    <x v="1"/>
    <x v="157"/>
    <x v="1"/>
    <x v="165"/>
    <x v="1"/>
    <x v="160"/>
    <x v="1"/>
    <x v="0"/>
    <x v="1"/>
    <x v="0"/>
    <x v="0"/>
    <x v="29"/>
    <x v="29"/>
    <x v="34"/>
    <x v="0"/>
    <x v="1"/>
    <x v="1"/>
    <x v="8"/>
    <x v="0"/>
    <x v="46"/>
    <x v="0"/>
    <x v="36"/>
    <x v="35"/>
    <x v="1"/>
    <x v="0"/>
    <x v="0"/>
    <x v="0"/>
    <x v="0"/>
    <x v="1"/>
  </r>
  <r>
    <x v="1"/>
    <x v="1"/>
    <x v="30"/>
    <x v="17"/>
    <x v="9"/>
    <x v="22"/>
    <x v="6"/>
    <x v="1"/>
    <x v="76"/>
    <x v="1"/>
    <x v="55"/>
    <x v="1"/>
    <x v="28"/>
    <x v="1"/>
    <x v="0"/>
    <x v="0"/>
    <x v="0"/>
    <x v="0"/>
    <x v="30"/>
    <x v="17"/>
    <x v="9"/>
    <x v="0"/>
    <x v="7"/>
    <x v="58"/>
    <x v="30"/>
    <x v="33"/>
    <x v="20"/>
    <x v="5"/>
    <x v="9"/>
    <x v="10"/>
    <x v="24"/>
    <x v="0"/>
    <x v="5"/>
    <x v="68"/>
    <x v="16"/>
    <x v="1"/>
  </r>
  <r>
    <x v="1"/>
    <x v="0"/>
    <x v="31"/>
    <x v="43"/>
    <x v="54"/>
    <x v="28"/>
    <x v="57"/>
    <x v="0"/>
    <x v="158"/>
    <x v="0"/>
    <x v="166"/>
    <x v="0"/>
    <x v="161"/>
    <x v="0"/>
    <x v="0"/>
    <x v="0"/>
    <x v="0"/>
    <x v="0"/>
    <x v="31"/>
    <x v="43"/>
    <x v="54"/>
    <x v="1"/>
    <x v="46"/>
    <x v="110"/>
    <x v="143"/>
    <x v="284"/>
    <x v="267"/>
    <x v="82"/>
    <x v="57"/>
    <x v="57"/>
    <x v="0"/>
    <x v="0"/>
    <x v="43"/>
    <x v="92"/>
    <x v="79"/>
    <x v="0"/>
  </r>
  <r>
    <x v="1"/>
    <x v="0"/>
    <x v="32"/>
    <x v="43"/>
    <x v="100"/>
    <x v="5"/>
    <x v="55"/>
    <x v="1"/>
    <x v="17"/>
    <x v="1"/>
    <x v="0"/>
    <x v="1"/>
    <x v="0"/>
    <x v="1"/>
    <x v="0"/>
    <x v="31"/>
    <x v="0"/>
    <x v="0"/>
    <x v="32"/>
    <x v="43"/>
    <x v="100"/>
    <x v="1"/>
    <x v="93"/>
    <x v="76"/>
    <x v="155"/>
    <x v="168"/>
    <x v="185"/>
    <x v="2"/>
    <x v="102"/>
    <x v="102"/>
    <x v="0"/>
    <x v="0"/>
    <x v="1"/>
    <x v="92"/>
    <x v="99"/>
    <x v="0"/>
  </r>
  <r>
    <x v="1"/>
    <x v="2"/>
    <x v="33"/>
    <x v="15"/>
    <x v="23"/>
    <x v="10"/>
    <x v="24"/>
    <x v="1"/>
    <x v="148"/>
    <x v="1"/>
    <x v="73"/>
    <x v="1"/>
    <x v="161"/>
    <x v="0"/>
    <x v="0"/>
    <x v="0"/>
    <x v="0"/>
    <x v="0"/>
    <x v="33"/>
    <x v="15"/>
    <x v="23"/>
    <x v="1"/>
    <x v="26"/>
    <x v="137"/>
    <x v="148"/>
    <x v="311"/>
    <x v="296"/>
    <x v="100"/>
    <x v="22"/>
    <x v="22"/>
    <x v="2"/>
    <x v="2"/>
    <x v="25"/>
    <x v="113"/>
    <x v="40"/>
    <x v="0"/>
  </r>
  <r>
    <x v="1"/>
    <x v="2"/>
    <x v="34"/>
    <x v="19"/>
    <x v="22"/>
    <x v="8"/>
    <x v="57"/>
    <x v="0"/>
    <x v="158"/>
    <x v="0"/>
    <x v="166"/>
    <x v="0"/>
    <x v="161"/>
    <x v="0"/>
    <x v="0"/>
    <x v="0"/>
    <x v="0"/>
    <x v="0"/>
    <x v="34"/>
    <x v="19"/>
    <x v="22"/>
    <x v="1"/>
    <x v="34"/>
    <x v="116"/>
    <x v="132"/>
    <x v="317"/>
    <x v="291"/>
    <x v="102"/>
    <x v="23"/>
    <x v="22"/>
    <x v="14"/>
    <x v="0"/>
    <x v="28"/>
    <x v="111"/>
    <x v="46"/>
    <x v="0"/>
  </r>
  <r>
    <x v="1"/>
    <x v="2"/>
    <x v="35"/>
    <x v="21"/>
    <x v="12"/>
    <x v="19"/>
    <x v="15"/>
    <x v="1"/>
    <x v="158"/>
    <x v="0"/>
    <x v="91"/>
    <x v="1"/>
    <x v="161"/>
    <x v="0"/>
    <x v="0"/>
    <x v="0"/>
    <x v="0"/>
    <x v="0"/>
    <x v="35"/>
    <x v="21"/>
    <x v="12"/>
    <x v="1"/>
    <x v="17"/>
    <x v="115"/>
    <x v="131"/>
    <x v="321"/>
    <x v="289"/>
    <x v="107"/>
    <x v="14"/>
    <x v="12"/>
    <x v="39"/>
    <x v="0"/>
    <x v="22"/>
    <x v="109"/>
    <x v="28"/>
    <x v="0"/>
  </r>
  <r>
    <x v="1"/>
    <x v="2"/>
    <x v="36"/>
    <x v="29"/>
    <x v="52"/>
    <x v="11"/>
    <x v="28"/>
    <x v="1"/>
    <x v="158"/>
    <x v="0"/>
    <x v="161"/>
    <x v="1"/>
    <x v="161"/>
    <x v="0"/>
    <x v="0"/>
    <x v="0"/>
    <x v="0"/>
    <x v="0"/>
    <x v="36"/>
    <x v="29"/>
    <x v="52"/>
    <x v="1"/>
    <x v="39"/>
    <x v="108"/>
    <x v="153"/>
    <x v="271"/>
    <x v="258"/>
    <x v="72"/>
    <x v="56"/>
    <x v="56"/>
    <x v="27"/>
    <x v="10"/>
    <x v="35"/>
    <x v="104"/>
    <x v="60"/>
    <x v="0"/>
  </r>
  <r>
    <x v="1"/>
    <x v="1"/>
    <x v="37"/>
    <x v="39"/>
    <x v="45"/>
    <x v="16"/>
    <x v="57"/>
    <x v="0"/>
    <x v="158"/>
    <x v="0"/>
    <x v="166"/>
    <x v="0"/>
    <x v="161"/>
    <x v="0"/>
    <x v="0"/>
    <x v="0"/>
    <x v="0"/>
    <x v="0"/>
    <x v="37"/>
    <x v="39"/>
    <x v="45"/>
    <x v="1"/>
    <x v="64"/>
    <x v="113"/>
    <x v="136"/>
    <x v="298"/>
    <x v="255"/>
    <x v="89"/>
    <x v="49"/>
    <x v="49"/>
    <x v="13"/>
    <x v="0"/>
    <x v="22"/>
    <x v="96"/>
    <x v="80"/>
    <x v="0"/>
  </r>
  <r>
    <x v="1"/>
    <x v="0"/>
    <x v="38"/>
    <x v="41"/>
    <x v="47"/>
    <x v="17"/>
    <x v="57"/>
    <x v="0"/>
    <x v="158"/>
    <x v="0"/>
    <x v="166"/>
    <x v="0"/>
    <x v="161"/>
    <x v="0"/>
    <x v="0"/>
    <x v="0"/>
    <x v="0"/>
    <x v="0"/>
    <x v="38"/>
    <x v="41"/>
    <x v="47"/>
    <x v="1"/>
    <x v="61"/>
    <x v="104"/>
    <x v="147"/>
    <x v="301"/>
    <x v="239"/>
    <x v="62"/>
    <x v="51"/>
    <x v="51"/>
    <x v="9"/>
    <x v="0"/>
    <x v="13"/>
    <x v="94"/>
    <x v="74"/>
    <x v="0"/>
  </r>
  <r>
    <x v="1"/>
    <x v="2"/>
    <x v="39"/>
    <x v="39"/>
    <x v="43"/>
    <x v="27"/>
    <x v="23"/>
    <x v="1"/>
    <x v="158"/>
    <x v="0"/>
    <x v="164"/>
    <x v="1"/>
    <x v="161"/>
    <x v="0"/>
    <x v="0"/>
    <x v="0"/>
    <x v="0"/>
    <x v="0"/>
    <x v="39"/>
    <x v="39"/>
    <x v="43"/>
    <x v="1"/>
    <x v="40"/>
    <x v="114"/>
    <x v="145"/>
    <x v="265"/>
    <x v="268"/>
    <x v="64"/>
    <x v="45"/>
    <x v="45"/>
    <x v="4"/>
    <x v="0"/>
    <x v="37"/>
    <x v="96"/>
    <x v="66"/>
    <x v="0"/>
  </r>
  <r>
    <x v="1"/>
    <x v="0"/>
    <x v="40"/>
    <x v="23"/>
    <x v="25"/>
    <x v="21"/>
    <x v="2"/>
    <x v="1"/>
    <x v="67"/>
    <x v="1"/>
    <x v="48"/>
    <x v="1"/>
    <x v="1"/>
    <x v="1"/>
    <x v="0"/>
    <x v="0"/>
    <x v="0"/>
    <x v="0"/>
    <x v="40"/>
    <x v="23"/>
    <x v="25"/>
    <x v="0"/>
    <x v="3"/>
    <x v="3"/>
    <x v="32"/>
    <x v="20"/>
    <x v="52"/>
    <x v="0"/>
    <x v="28"/>
    <x v="26"/>
    <x v="85"/>
    <x v="0"/>
    <x v="0"/>
    <x v="0"/>
    <x v="0"/>
    <x v="1"/>
  </r>
  <r>
    <x v="1"/>
    <x v="2"/>
    <x v="42"/>
    <x v="15"/>
    <x v="27"/>
    <x v="15"/>
    <x v="12"/>
    <x v="1"/>
    <x v="58"/>
    <x v="1"/>
    <x v="42"/>
    <x v="1"/>
    <x v="53"/>
    <x v="1"/>
    <x v="0"/>
    <x v="0"/>
    <x v="0"/>
    <x v="0"/>
    <x v="42"/>
    <x v="15"/>
    <x v="27"/>
    <x v="0"/>
    <x v="13"/>
    <x v="112"/>
    <x v="110"/>
    <x v="134"/>
    <x v="103"/>
    <x v="55"/>
    <x v="29"/>
    <x v="28"/>
    <x v="20"/>
    <x v="0"/>
    <x v="12"/>
    <x v="84"/>
    <x v="33"/>
    <x v="1"/>
  </r>
  <r>
    <x v="1"/>
    <x v="1"/>
    <x v="43"/>
    <x v="60"/>
    <x v="84"/>
    <x v="34"/>
    <x v="11"/>
    <x v="1"/>
    <x v="153"/>
    <x v="1"/>
    <x v="166"/>
    <x v="0"/>
    <x v="138"/>
    <x v="1"/>
    <x v="0"/>
    <x v="0"/>
    <x v="0"/>
    <x v="0"/>
    <x v="43"/>
    <x v="60"/>
    <x v="84"/>
    <x v="1"/>
    <x v="101"/>
    <x v="71"/>
    <x v="126"/>
    <x v="176"/>
    <x v="114"/>
    <x v="2"/>
    <x v="87"/>
    <x v="87"/>
    <x v="54"/>
    <x v="0"/>
    <x v="1"/>
    <x v="78"/>
    <x v="108"/>
    <x v="0"/>
  </r>
  <r>
    <x v="1"/>
    <x v="0"/>
    <x v="44"/>
    <x v="26"/>
    <x v="21"/>
    <x v="32"/>
    <x v="0"/>
    <x v="1"/>
    <x v="12"/>
    <x v="1"/>
    <x v="35"/>
    <x v="1"/>
    <x v="0"/>
    <x v="1"/>
    <x v="0"/>
    <x v="0"/>
    <x v="0"/>
    <x v="0"/>
    <x v="44"/>
    <x v="26"/>
    <x v="21"/>
    <x v="0"/>
    <x v="1"/>
    <x v="1"/>
    <x v="48"/>
    <x v="42"/>
    <x v="60"/>
    <x v="0"/>
    <x v="25"/>
    <x v="24"/>
    <x v="99"/>
    <x v="0"/>
    <x v="0"/>
    <x v="0"/>
    <x v="0"/>
    <x v="1"/>
  </r>
  <r>
    <x v="1"/>
    <x v="1"/>
    <x v="45"/>
    <x v="5"/>
    <x v="3"/>
    <x v="15"/>
    <x v="3"/>
    <x v="1"/>
    <x v="5"/>
    <x v="1"/>
    <x v="9"/>
    <x v="1"/>
    <x v="0"/>
    <x v="1"/>
    <x v="0"/>
    <x v="1"/>
    <x v="0"/>
    <x v="0"/>
    <x v="45"/>
    <x v="5"/>
    <x v="3"/>
    <x v="0"/>
    <x v="4"/>
    <x v="9"/>
    <x v="3"/>
    <x v="5"/>
    <x v="6"/>
    <x v="0"/>
    <x v="3"/>
    <x v="3"/>
    <x v="33"/>
    <x v="0"/>
    <x v="0"/>
    <x v="0"/>
    <x v="0"/>
    <x v="1"/>
  </r>
  <r>
    <x v="1"/>
    <x v="2"/>
    <x v="46"/>
    <x v="34"/>
    <x v="74"/>
    <x v="30"/>
    <x v="18"/>
    <x v="1"/>
    <x v="62"/>
    <x v="1"/>
    <x v="166"/>
    <x v="0"/>
    <x v="133"/>
    <x v="1"/>
    <x v="0"/>
    <x v="0"/>
    <x v="0"/>
    <x v="0"/>
    <x v="46"/>
    <x v="34"/>
    <x v="74"/>
    <x v="1"/>
    <x v="67"/>
    <x v="79"/>
    <x v="126"/>
    <x v="114"/>
    <x v="110"/>
    <x v="2"/>
    <x v="78"/>
    <x v="77"/>
    <x v="8"/>
    <x v="0"/>
    <x v="1"/>
    <x v="100"/>
    <x v="73"/>
    <x v="0"/>
  </r>
  <r>
    <x v="1"/>
    <x v="2"/>
    <x v="51"/>
    <x v="34"/>
    <x v="88"/>
    <x v="12"/>
    <x v="27"/>
    <x v="1"/>
    <x v="72"/>
    <x v="1"/>
    <x v="166"/>
    <x v="0"/>
    <x v="73"/>
    <x v="1"/>
    <x v="0"/>
    <x v="9"/>
    <x v="0"/>
    <x v="0"/>
    <x v="51"/>
    <x v="34"/>
    <x v="88"/>
    <x v="1"/>
    <x v="73"/>
    <x v="97"/>
    <x v="139"/>
    <x v="183"/>
    <x v="158"/>
    <x v="13"/>
    <x v="91"/>
    <x v="91"/>
    <x v="5"/>
    <x v="0"/>
    <x v="8"/>
    <x v="82"/>
    <x v="80"/>
    <x v="0"/>
  </r>
  <r>
    <x v="1"/>
    <x v="2"/>
    <x v="52"/>
    <x v="34"/>
    <x v="91"/>
    <x v="7"/>
    <x v="36"/>
    <x v="1"/>
    <x v="74"/>
    <x v="1"/>
    <x v="166"/>
    <x v="0"/>
    <x v="135"/>
    <x v="1"/>
    <x v="0"/>
    <x v="0"/>
    <x v="0"/>
    <x v="0"/>
    <x v="52"/>
    <x v="34"/>
    <x v="91"/>
    <x v="1"/>
    <x v="73"/>
    <x v="69"/>
    <x v="126"/>
    <x v="162"/>
    <x v="133"/>
    <x v="2"/>
    <x v="94"/>
    <x v="94"/>
    <x v="11"/>
    <x v="0"/>
    <x v="1"/>
    <x v="75"/>
    <x v="80"/>
    <x v="0"/>
  </r>
  <r>
    <x v="1"/>
    <x v="2"/>
    <x v="53"/>
    <x v="34"/>
    <x v="87"/>
    <x v="10"/>
    <x v="11"/>
    <x v="1"/>
    <x v="53"/>
    <x v="1"/>
    <x v="166"/>
    <x v="0"/>
    <x v="94"/>
    <x v="1"/>
    <x v="0"/>
    <x v="0"/>
    <x v="0"/>
    <x v="0"/>
    <x v="53"/>
    <x v="34"/>
    <x v="87"/>
    <x v="1"/>
    <x v="70"/>
    <x v="68"/>
    <x v="126"/>
    <x v="145"/>
    <x v="173"/>
    <x v="2"/>
    <x v="90"/>
    <x v="90"/>
    <x v="12"/>
    <x v="0"/>
    <x v="1"/>
    <x v="73"/>
    <x v="76"/>
    <x v="0"/>
  </r>
  <r>
    <x v="1"/>
    <x v="2"/>
    <x v="54"/>
    <x v="41"/>
    <x v="89"/>
    <x v="30"/>
    <x v="20"/>
    <x v="1"/>
    <x v="81"/>
    <x v="1"/>
    <x v="166"/>
    <x v="0"/>
    <x v="143"/>
    <x v="1"/>
    <x v="0"/>
    <x v="0"/>
    <x v="0"/>
    <x v="0"/>
    <x v="54"/>
    <x v="41"/>
    <x v="89"/>
    <x v="1"/>
    <x v="83"/>
    <x v="77"/>
    <x v="126"/>
    <x v="130"/>
    <x v="140"/>
    <x v="2"/>
    <x v="92"/>
    <x v="92"/>
    <x v="7"/>
    <x v="0"/>
    <x v="1"/>
    <x v="94"/>
    <x v="89"/>
    <x v="0"/>
  </r>
  <r>
    <x v="1"/>
    <x v="2"/>
    <x v="59"/>
    <x v="41"/>
    <x v="96"/>
    <x v="18"/>
    <x v="7"/>
    <x v="1"/>
    <x v="27"/>
    <x v="1"/>
    <x v="26"/>
    <x v="1"/>
    <x v="41"/>
    <x v="1"/>
    <x v="0"/>
    <x v="0"/>
    <x v="0"/>
    <x v="0"/>
    <x v="59"/>
    <x v="41"/>
    <x v="96"/>
    <x v="1"/>
    <x v="77"/>
    <x v="65"/>
    <x v="126"/>
    <x v="148"/>
    <x v="138"/>
    <x v="3"/>
    <x v="99"/>
    <x v="99"/>
    <x v="17"/>
    <x v="0"/>
    <x v="2"/>
    <x v="69"/>
    <x v="84"/>
    <x v="0"/>
  </r>
  <r>
    <x v="1"/>
    <x v="2"/>
    <x v="60"/>
    <x v="43"/>
    <x v="33"/>
    <x v="31"/>
    <x v="57"/>
    <x v="0"/>
    <x v="158"/>
    <x v="0"/>
    <x v="166"/>
    <x v="0"/>
    <x v="161"/>
    <x v="0"/>
    <x v="0"/>
    <x v="0"/>
    <x v="0"/>
    <x v="0"/>
    <x v="60"/>
    <x v="43"/>
    <x v="33"/>
    <x v="1"/>
    <x v="22"/>
    <x v="94"/>
    <x v="127"/>
    <x v="300"/>
    <x v="248"/>
    <x v="67"/>
    <x v="35"/>
    <x v="34"/>
    <x v="55"/>
    <x v="0"/>
    <x v="22"/>
    <x v="92"/>
    <x v="58"/>
    <x v="0"/>
  </r>
  <r>
    <x v="1"/>
    <x v="2"/>
    <x v="62"/>
    <x v="43"/>
    <x v="66"/>
    <x v="10"/>
    <x v="57"/>
    <x v="0"/>
    <x v="158"/>
    <x v="0"/>
    <x v="166"/>
    <x v="0"/>
    <x v="161"/>
    <x v="0"/>
    <x v="0"/>
    <x v="0"/>
    <x v="0"/>
    <x v="0"/>
    <x v="62"/>
    <x v="43"/>
    <x v="66"/>
    <x v="1"/>
    <x v="90"/>
    <x v="95"/>
    <x v="135"/>
    <x v="258"/>
    <x v="259"/>
    <x v="5"/>
    <x v="69"/>
    <x v="69"/>
    <x v="7"/>
    <x v="0"/>
    <x v="3"/>
    <x v="92"/>
    <x v="96"/>
    <x v="0"/>
  </r>
  <r>
    <x v="1"/>
    <x v="2"/>
    <x v="63"/>
    <x v="43"/>
    <x v="60"/>
    <x v="15"/>
    <x v="57"/>
    <x v="0"/>
    <x v="158"/>
    <x v="0"/>
    <x v="166"/>
    <x v="0"/>
    <x v="161"/>
    <x v="0"/>
    <x v="0"/>
    <x v="0"/>
    <x v="0"/>
    <x v="0"/>
    <x v="63"/>
    <x v="43"/>
    <x v="60"/>
    <x v="1"/>
    <x v="84"/>
    <x v="76"/>
    <x v="126"/>
    <x v="251"/>
    <x v="254"/>
    <x v="2"/>
    <x v="63"/>
    <x v="63"/>
    <x v="36"/>
    <x v="0"/>
    <x v="1"/>
    <x v="92"/>
    <x v="90"/>
    <x v="0"/>
  </r>
  <r>
    <x v="1"/>
    <x v="2"/>
    <x v="64"/>
    <x v="43"/>
    <x v="59"/>
    <x v="11"/>
    <x v="57"/>
    <x v="0"/>
    <x v="158"/>
    <x v="0"/>
    <x v="166"/>
    <x v="0"/>
    <x v="161"/>
    <x v="0"/>
    <x v="0"/>
    <x v="0"/>
    <x v="0"/>
    <x v="0"/>
    <x v="64"/>
    <x v="43"/>
    <x v="59"/>
    <x v="1"/>
    <x v="87"/>
    <x v="76"/>
    <x v="126"/>
    <x v="156"/>
    <x v="208"/>
    <x v="2"/>
    <x v="62"/>
    <x v="62"/>
    <x v="26"/>
    <x v="0"/>
    <x v="1"/>
    <x v="92"/>
    <x v="93"/>
    <x v="0"/>
  </r>
  <r>
    <x v="1"/>
    <x v="2"/>
    <x v="67"/>
    <x v="43"/>
    <x v="63"/>
    <x v="14"/>
    <x v="57"/>
    <x v="0"/>
    <x v="158"/>
    <x v="0"/>
    <x v="166"/>
    <x v="0"/>
    <x v="161"/>
    <x v="0"/>
    <x v="0"/>
    <x v="0"/>
    <x v="0"/>
    <x v="0"/>
    <x v="67"/>
    <x v="43"/>
    <x v="63"/>
    <x v="1"/>
    <x v="88"/>
    <x v="103"/>
    <x v="131"/>
    <x v="230"/>
    <x v="219"/>
    <x v="10"/>
    <x v="66"/>
    <x v="66"/>
    <x v="4"/>
    <x v="0"/>
    <x v="5"/>
    <x v="92"/>
    <x v="94"/>
    <x v="0"/>
  </r>
  <r>
    <x v="1"/>
    <x v="2"/>
    <x v="68"/>
    <x v="43"/>
    <x v="65"/>
    <x v="12"/>
    <x v="57"/>
    <x v="0"/>
    <x v="158"/>
    <x v="0"/>
    <x v="166"/>
    <x v="0"/>
    <x v="161"/>
    <x v="0"/>
    <x v="0"/>
    <x v="0"/>
    <x v="0"/>
    <x v="0"/>
    <x v="68"/>
    <x v="43"/>
    <x v="65"/>
    <x v="1"/>
    <x v="89"/>
    <x v="87"/>
    <x v="131"/>
    <x v="243"/>
    <x v="178"/>
    <x v="3"/>
    <x v="68"/>
    <x v="68"/>
    <x v="13"/>
    <x v="0"/>
    <x v="2"/>
    <x v="92"/>
    <x v="95"/>
    <x v="0"/>
  </r>
  <r>
    <x v="1"/>
    <x v="2"/>
    <x v="69"/>
    <x v="43"/>
    <x v="38"/>
    <x v="33"/>
    <x v="10"/>
    <x v="1"/>
    <x v="158"/>
    <x v="0"/>
    <x v="98"/>
    <x v="1"/>
    <x v="130"/>
    <x v="1"/>
    <x v="0"/>
    <x v="0"/>
    <x v="0"/>
    <x v="0"/>
    <x v="69"/>
    <x v="43"/>
    <x v="38"/>
    <x v="0"/>
    <x v="11"/>
    <x v="96"/>
    <x v="116"/>
    <x v="178"/>
    <x v="108"/>
    <x v="36"/>
    <x v="39"/>
    <x v="39"/>
    <x v="73"/>
    <x v="0"/>
    <x v="9"/>
    <x v="81"/>
    <x v="30"/>
    <x v="1"/>
  </r>
  <r>
    <x v="1"/>
    <x v="2"/>
    <x v="70"/>
    <x v="43"/>
    <x v="31"/>
    <x v="37"/>
    <x v="12"/>
    <x v="1"/>
    <x v="158"/>
    <x v="0"/>
    <x v="110"/>
    <x v="1"/>
    <x v="161"/>
    <x v="0"/>
    <x v="0"/>
    <x v="0"/>
    <x v="0"/>
    <x v="0"/>
    <x v="70"/>
    <x v="43"/>
    <x v="31"/>
    <x v="0"/>
    <x v="13"/>
    <x v="112"/>
    <x v="124"/>
    <x v="245"/>
    <x v="201"/>
    <x v="66"/>
    <x v="33"/>
    <x v="32"/>
    <x v="72"/>
    <x v="0"/>
    <x v="16"/>
    <x v="80"/>
    <x v="57"/>
    <x v="1"/>
  </r>
  <r>
    <x v="1"/>
    <x v="2"/>
    <x v="71"/>
    <x v="26"/>
    <x v="64"/>
    <x v="25"/>
    <x v="9"/>
    <x v="1"/>
    <x v="14"/>
    <x v="1"/>
    <x v="166"/>
    <x v="0"/>
    <x v="7"/>
    <x v="1"/>
    <x v="0"/>
    <x v="0"/>
    <x v="0"/>
    <x v="0"/>
    <x v="71"/>
    <x v="26"/>
    <x v="64"/>
    <x v="0"/>
    <x v="10"/>
    <x v="84"/>
    <x v="85"/>
    <x v="88"/>
    <x v="83"/>
    <x v="2"/>
    <x v="67"/>
    <x v="67"/>
    <x v="12"/>
    <x v="0"/>
    <x v="1"/>
    <x v="106"/>
    <x v="54"/>
    <x v="1"/>
  </r>
  <r>
    <x v="1"/>
    <x v="2"/>
    <x v="74"/>
    <x v="26"/>
    <x v="73"/>
    <x v="10"/>
    <x v="33"/>
    <x v="1"/>
    <x v="54"/>
    <x v="1"/>
    <x v="166"/>
    <x v="0"/>
    <x v="82"/>
    <x v="1"/>
    <x v="0"/>
    <x v="12"/>
    <x v="0"/>
    <x v="0"/>
    <x v="74"/>
    <x v="26"/>
    <x v="73"/>
    <x v="1"/>
    <x v="48"/>
    <x v="90"/>
    <x v="133"/>
    <x v="157"/>
    <x v="181"/>
    <x v="10"/>
    <x v="76"/>
    <x v="76"/>
    <x v="0"/>
    <x v="0"/>
    <x v="8"/>
    <x v="106"/>
    <x v="57"/>
    <x v="0"/>
  </r>
  <r>
    <x v="1"/>
    <x v="2"/>
    <x v="75"/>
    <x v="26"/>
    <x v="75"/>
    <x v="6"/>
    <x v="38"/>
    <x v="1"/>
    <x v="34"/>
    <x v="1"/>
    <x v="54"/>
    <x v="1"/>
    <x v="65"/>
    <x v="1"/>
    <x v="0"/>
    <x v="16"/>
    <x v="0"/>
    <x v="0"/>
    <x v="75"/>
    <x v="26"/>
    <x v="75"/>
    <x v="1"/>
    <x v="56"/>
    <x v="70"/>
    <x v="132"/>
    <x v="159"/>
    <x v="210"/>
    <x v="2"/>
    <x v="77"/>
    <x v="78"/>
    <x v="6"/>
    <x v="0"/>
    <x v="1"/>
    <x v="76"/>
    <x v="63"/>
    <x v="0"/>
  </r>
  <r>
    <x v="1"/>
    <x v="2"/>
    <x v="76"/>
    <x v="26"/>
    <x v="71"/>
    <x v="8"/>
    <x v="11"/>
    <x v="1"/>
    <x v="11"/>
    <x v="1"/>
    <x v="116"/>
    <x v="1"/>
    <x v="34"/>
    <x v="1"/>
    <x v="0"/>
    <x v="0"/>
    <x v="0"/>
    <x v="0"/>
    <x v="76"/>
    <x v="26"/>
    <x v="71"/>
    <x v="1"/>
    <x v="12"/>
    <x v="67"/>
    <x v="126"/>
    <x v="132"/>
    <x v="161"/>
    <x v="2"/>
    <x v="74"/>
    <x v="74"/>
    <x v="4"/>
    <x v="0"/>
    <x v="1"/>
    <x v="72"/>
    <x v="59"/>
    <x v="0"/>
  </r>
  <r>
    <x v="1"/>
    <x v="1"/>
    <x v="77"/>
    <x v="24"/>
    <x v="21"/>
    <x v="29"/>
    <x v="1"/>
    <x v="1"/>
    <x v="31"/>
    <x v="1"/>
    <x v="37"/>
    <x v="1"/>
    <x v="0"/>
    <x v="1"/>
    <x v="0"/>
    <x v="0"/>
    <x v="0"/>
    <x v="0"/>
    <x v="77"/>
    <x v="24"/>
    <x v="21"/>
    <x v="0"/>
    <x v="2"/>
    <x v="2"/>
    <x v="27"/>
    <x v="21"/>
    <x v="47"/>
    <x v="0"/>
    <x v="24"/>
    <x v="23"/>
    <x v="89"/>
    <x v="0"/>
    <x v="0"/>
    <x v="0"/>
    <x v="0"/>
    <x v="1"/>
  </r>
  <r>
    <x v="1"/>
    <x v="2"/>
    <x v="78"/>
    <x v="50"/>
    <x v="86"/>
    <x v="5"/>
    <x v="57"/>
    <x v="0"/>
    <x v="158"/>
    <x v="0"/>
    <x v="166"/>
    <x v="0"/>
    <x v="161"/>
    <x v="0"/>
    <x v="0"/>
    <x v="14"/>
    <x v="0"/>
    <x v="0"/>
    <x v="78"/>
    <x v="50"/>
    <x v="86"/>
    <x v="1"/>
    <x v="109"/>
    <x v="74"/>
    <x v="135"/>
    <x v="188"/>
    <x v="154"/>
    <x v="6"/>
    <x v="89"/>
    <x v="89"/>
    <x v="5"/>
    <x v="0"/>
    <x v="5"/>
    <x v="89"/>
    <x v="116"/>
    <x v="0"/>
  </r>
  <r>
    <x v="1"/>
    <x v="0"/>
    <x v="81"/>
    <x v="44"/>
    <x v="32"/>
    <x v="36"/>
    <x v="58"/>
    <x v="1"/>
    <x v="157"/>
    <x v="1"/>
    <x v="165"/>
    <x v="1"/>
    <x v="160"/>
    <x v="1"/>
    <x v="0"/>
    <x v="0"/>
    <x v="0"/>
    <x v="0"/>
    <x v="81"/>
    <x v="44"/>
    <x v="32"/>
    <x v="0"/>
    <x v="1"/>
    <x v="1"/>
    <x v="38"/>
    <x v="27"/>
    <x v="66"/>
    <x v="0"/>
    <x v="34"/>
    <x v="33"/>
    <x v="95"/>
    <x v="0"/>
    <x v="0"/>
    <x v="0"/>
    <x v="0"/>
    <x v="1"/>
  </r>
  <r>
    <x v="1"/>
    <x v="0"/>
    <x v="82"/>
    <x v="44"/>
    <x v="62"/>
    <x v="13"/>
    <x v="57"/>
    <x v="0"/>
    <x v="158"/>
    <x v="0"/>
    <x v="166"/>
    <x v="0"/>
    <x v="161"/>
    <x v="0"/>
    <x v="0"/>
    <x v="0"/>
    <x v="0"/>
    <x v="0"/>
    <x v="82"/>
    <x v="44"/>
    <x v="62"/>
    <x v="1"/>
    <x v="81"/>
    <x v="83"/>
    <x v="127"/>
    <x v="123"/>
    <x v="132"/>
    <x v="7"/>
    <x v="65"/>
    <x v="65"/>
    <x v="28"/>
    <x v="0"/>
    <x v="6"/>
    <x v="91"/>
    <x v="87"/>
    <x v="0"/>
  </r>
  <r>
    <x v="1"/>
    <x v="0"/>
    <x v="83"/>
    <x v="44"/>
    <x v="78"/>
    <x v="7"/>
    <x v="47"/>
    <x v="1"/>
    <x v="158"/>
    <x v="0"/>
    <x v="166"/>
    <x v="0"/>
    <x v="161"/>
    <x v="0"/>
    <x v="0"/>
    <x v="0"/>
    <x v="0"/>
    <x v="0"/>
    <x v="83"/>
    <x v="44"/>
    <x v="78"/>
    <x v="1"/>
    <x v="109"/>
    <x v="75"/>
    <x v="126"/>
    <x v="142"/>
    <x v="122"/>
    <x v="6"/>
    <x v="81"/>
    <x v="81"/>
    <x v="13"/>
    <x v="0"/>
    <x v="5"/>
    <x v="91"/>
    <x v="116"/>
    <x v="0"/>
  </r>
  <r>
    <x v="1"/>
    <x v="0"/>
    <x v="84"/>
    <x v="34"/>
    <x v="11"/>
    <x v="27"/>
    <x v="9"/>
    <x v="1"/>
    <x v="158"/>
    <x v="0"/>
    <x v="90"/>
    <x v="1"/>
    <x v="88"/>
    <x v="1"/>
    <x v="0"/>
    <x v="0"/>
    <x v="0"/>
    <x v="0"/>
    <x v="84"/>
    <x v="34"/>
    <x v="11"/>
    <x v="0"/>
    <x v="10"/>
    <x v="84"/>
    <x v="59"/>
    <x v="77"/>
    <x v="27"/>
    <x v="8"/>
    <x v="16"/>
    <x v="12"/>
    <x v="64"/>
    <x v="0"/>
    <x v="3"/>
    <x v="81"/>
    <x v="7"/>
    <x v="1"/>
  </r>
  <r>
    <x v="1"/>
    <x v="0"/>
    <x v="85"/>
    <x v="34"/>
    <x v="11"/>
    <x v="27"/>
    <x v="9"/>
    <x v="1"/>
    <x v="158"/>
    <x v="0"/>
    <x v="74"/>
    <x v="1"/>
    <x v="89"/>
    <x v="1"/>
    <x v="0"/>
    <x v="0"/>
    <x v="0"/>
    <x v="0"/>
    <x v="85"/>
    <x v="34"/>
    <x v="11"/>
    <x v="0"/>
    <x v="10"/>
    <x v="84"/>
    <x v="61"/>
    <x v="75"/>
    <x v="34"/>
    <x v="3"/>
    <x v="16"/>
    <x v="12"/>
    <x v="80"/>
    <x v="0"/>
    <x v="2"/>
    <x v="77"/>
    <x v="8"/>
    <x v="1"/>
  </r>
  <r>
    <x v="1"/>
    <x v="0"/>
    <x v="86"/>
    <x v="30"/>
    <x v="7"/>
    <x v="23"/>
    <x v="8"/>
    <x v="1"/>
    <x v="158"/>
    <x v="0"/>
    <x v="89"/>
    <x v="1"/>
    <x v="58"/>
    <x v="1"/>
    <x v="0"/>
    <x v="0"/>
    <x v="0"/>
    <x v="0"/>
    <x v="86"/>
    <x v="30"/>
    <x v="7"/>
    <x v="0"/>
    <x v="9"/>
    <x v="73"/>
    <x v="37"/>
    <x v="58"/>
    <x v="19"/>
    <x v="0"/>
    <x v="8"/>
    <x v="7"/>
    <x v="66"/>
    <x v="0"/>
    <x v="0"/>
    <x v="0"/>
    <x v="0"/>
    <x v="1"/>
  </r>
  <r>
    <x v="1"/>
    <x v="0"/>
    <x v="87"/>
    <x v="30"/>
    <x v="7"/>
    <x v="23"/>
    <x v="8"/>
    <x v="1"/>
    <x v="158"/>
    <x v="0"/>
    <x v="87"/>
    <x v="1"/>
    <x v="55"/>
    <x v="1"/>
    <x v="0"/>
    <x v="0"/>
    <x v="0"/>
    <x v="0"/>
    <x v="87"/>
    <x v="30"/>
    <x v="7"/>
    <x v="0"/>
    <x v="9"/>
    <x v="73"/>
    <x v="24"/>
    <x v="44"/>
    <x v="21"/>
    <x v="0"/>
    <x v="8"/>
    <x v="7"/>
    <x v="67"/>
    <x v="0"/>
    <x v="0"/>
    <x v="0"/>
    <x v="0"/>
    <x v="1"/>
  </r>
  <r>
    <x v="1"/>
    <x v="0"/>
    <x v="88"/>
    <x v="57"/>
    <x v="99"/>
    <x v="47"/>
    <x v="58"/>
    <x v="1"/>
    <x v="157"/>
    <x v="1"/>
    <x v="165"/>
    <x v="1"/>
    <x v="160"/>
    <x v="1"/>
    <x v="0"/>
    <x v="0"/>
    <x v="0"/>
    <x v="0"/>
    <x v="88"/>
    <x v="57"/>
    <x v="99"/>
    <x v="0"/>
    <x v="0"/>
    <x v="0"/>
    <x v="96"/>
    <x v="35"/>
    <x v="109"/>
    <x v="0"/>
    <x v="103"/>
    <x v="103"/>
    <x v="0"/>
    <x v="0"/>
    <x v="0"/>
    <x v="0"/>
    <x v="0"/>
    <x v="1"/>
  </r>
  <r>
    <x v="1"/>
    <x v="0"/>
    <x v="89"/>
    <x v="54"/>
    <x v="101"/>
    <x v="45"/>
    <x v="58"/>
    <x v="1"/>
    <x v="157"/>
    <x v="1"/>
    <x v="165"/>
    <x v="1"/>
    <x v="160"/>
    <x v="1"/>
    <x v="0"/>
    <x v="0"/>
    <x v="0"/>
    <x v="0"/>
    <x v="89"/>
    <x v="54"/>
    <x v="101"/>
    <x v="0"/>
    <x v="0"/>
    <x v="0"/>
    <x v="92"/>
    <x v="30"/>
    <x v="111"/>
    <x v="0"/>
    <x v="104"/>
    <x v="104"/>
    <x v="0"/>
    <x v="0"/>
    <x v="0"/>
    <x v="0"/>
    <x v="0"/>
    <x v="1"/>
  </r>
  <r>
    <x v="1"/>
    <x v="0"/>
    <x v="90"/>
    <x v="55"/>
    <x v="102"/>
    <x v="45"/>
    <x v="58"/>
    <x v="1"/>
    <x v="157"/>
    <x v="1"/>
    <x v="165"/>
    <x v="1"/>
    <x v="160"/>
    <x v="1"/>
    <x v="0"/>
    <x v="0"/>
    <x v="0"/>
    <x v="0"/>
    <x v="90"/>
    <x v="55"/>
    <x v="102"/>
    <x v="0"/>
    <x v="0"/>
    <x v="0"/>
    <x v="99"/>
    <x v="31"/>
    <x v="112"/>
    <x v="0"/>
    <x v="105"/>
    <x v="105"/>
    <x v="0"/>
    <x v="0"/>
    <x v="0"/>
    <x v="0"/>
    <x v="0"/>
    <x v="1"/>
  </r>
  <r>
    <x v="1"/>
    <x v="0"/>
    <x v="91"/>
    <x v="56"/>
    <x v="103"/>
    <x v="46"/>
    <x v="58"/>
    <x v="1"/>
    <x v="157"/>
    <x v="1"/>
    <x v="165"/>
    <x v="1"/>
    <x v="160"/>
    <x v="1"/>
    <x v="0"/>
    <x v="0"/>
    <x v="0"/>
    <x v="0"/>
    <x v="91"/>
    <x v="56"/>
    <x v="103"/>
    <x v="0"/>
    <x v="0"/>
    <x v="0"/>
    <x v="97"/>
    <x v="37"/>
    <x v="113"/>
    <x v="0"/>
    <x v="106"/>
    <x v="106"/>
    <x v="0"/>
    <x v="0"/>
    <x v="0"/>
    <x v="0"/>
    <x v="0"/>
    <x v="1"/>
  </r>
  <r>
    <x v="1"/>
    <x v="0"/>
    <x v="93"/>
    <x v="1"/>
    <x v="1"/>
    <x v="6"/>
    <x v="11"/>
    <x v="1"/>
    <x v="13"/>
    <x v="1"/>
    <x v="1"/>
    <x v="1"/>
    <x v="1"/>
    <x v="1"/>
    <x v="0"/>
    <x v="7"/>
    <x v="0"/>
    <x v="0"/>
    <x v="93"/>
    <x v="1"/>
    <x v="1"/>
    <x v="0"/>
    <x v="12"/>
    <x v="105"/>
    <x v="7"/>
    <x v="9"/>
    <x v="1"/>
    <x v="8"/>
    <x v="1"/>
    <x v="1"/>
    <x v="5"/>
    <x v="0"/>
    <x v="4"/>
    <x v="122"/>
    <x v="9"/>
    <x v="1"/>
  </r>
  <r>
    <x v="1"/>
    <x v="0"/>
    <x v="94"/>
    <x v="9"/>
    <x v="20"/>
    <x v="18"/>
    <x v="12"/>
    <x v="1"/>
    <x v="143"/>
    <x v="1"/>
    <x v="85"/>
    <x v="1"/>
    <x v="38"/>
    <x v="1"/>
    <x v="0"/>
    <x v="0"/>
    <x v="0"/>
    <x v="0"/>
    <x v="94"/>
    <x v="9"/>
    <x v="20"/>
    <x v="0"/>
    <x v="13"/>
    <x v="112"/>
    <x v="80"/>
    <x v="92"/>
    <x v="81"/>
    <x v="47"/>
    <x v="20"/>
    <x v="21"/>
    <x v="3"/>
    <x v="0"/>
    <x v="21"/>
    <x v="118"/>
    <x v="20"/>
    <x v="1"/>
  </r>
  <r>
    <x v="1"/>
    <x v="0"/>
    <x v="95"/>
    <x v="32"/>
    <x v="55"/>
    <x v="38"/>
    <x v="13"/>
    <x v="1"/>
    <x v="158"/>
    <x v="0"/>
    <x v="166"/>
    <x v="0"/>
    <x v="110"/>
    <x v="1"/>
    <x v="0"/>
    <x v="0"/>
    <x v="0"/>
    <x v="0"/>
    <x v="95"/>
    <x v="32"/>
    <x v="55"/>
    <x v="1"/>
    <x v="29"/>
    <x v="89"/>
    <x v="133"/>
    <x v="198"/>
    <x v="264"/>
    <x v="4"/>
    <x v="58"/>
    <x v="58"/>
    <x v="5"/>
    <x v="0"/>
    <x v="2"/>
    <x v="102"/>
    <x v="31"/>
    <x v="0"/>
  </r>
  <r>
    <x v="1"/>
    <x v="0"/>
    <x v="96"/>
    <x v="58"/>
    <x v="80"/>
    <x v="48"/>
    <x v="14"/>
    <x v="1"/>
    <x v="158"/>
    <x v="0"/>
    <x v="166"/>
    <x v="0"/>
    <x v="150"/>
    <x v="1"/>
    <x v="0"/>
    <x v="0"/>
    <x v="0"/>
    <x v="0"/>
    <x v="96"/>
    <x v="58"/>
    <x v="80"/>
    <x v="1"/>
    <x v="62"/>
    <x v="85"/>
    <x v="130"/>
    <x v="197"/>
    <x v="105"/>
    <x v="7"/>
    <x v="83"/>
    <x v="83"/>
    <x v="35"/>
    <x v="0"/>
    <x v="6"/>
    <x v="85"/>
    <x v="69"/>
    <x v="0"/>
  </r>
  <r>
    <x v="1"/>
    <x v="1"/>
    <x v="97"/>
    <x v="36"/>
    <x v="37"/>
    <x v="35"/>
    <x v="14"/>
    <x v="1"/>
    <x v="158"/>
    <x v="0"/>
    <x v="150"/>
    <x v="1"/>
    <x v="140"/>
    <x v="1"/>
    <x v="0"/>
    <x v="0"/>
    <x v="0"/>
    <x v="0"/>
    <x v="97"/>
    <x v="36"/>
    <x v="37"/>
    <x v="1"/>
    <x v="15"/>
    <x v="93"/>
    <x v="136"/>
    <x v="280"/>
    <x v="241"/>
    <x v="27"/>
    <x v="38"/>
    <x v="38"/>
    <x v="18"/>
    <x v="0"/>
    <x v="16"/>
    <x v="98"/>
    <x v="28"/>
    <x v="0"/>
  </r>
  <r>
    <x v="1"/>
    <x v="0"/>
    <x v="99"/>
    <x v="34"/>
    <x v="69"/>
    <x v="5"/>
    <x v="52"/>
    <x v="1"/>
    <x v="44"/>
    <x v="1"/>
    <x v="44"/>
    <x v="1"/>
    <x v="13"/>
    <x v="1"/>
    <x v="0"/>
    <x v="0"/>
    <x v="0"/>
    <x v="0"/>
    <x v="99"/>
    <x v="34"/>
    <x v="69"/>
    <x v="1"/>
    <x v="109"/>
    <x v="118"/>
    <x v="146"/>
    <x v="261"/>
    <x v="198"/>
    <x v="76"/>
    <x v="72"/>
    <x v="72"/>
    <x v="8"/>
    <x v="3"/>
    <x v="52"/>
    <x v="100"/>
    <x v="116"/>
    <x v="0"/>
  </r>
  <r>
    <x v="1"/>
    <x v="0"/>
    <x v="100"/>
    <x v="42"/>
    <x v="76"/>
    <x v="6"/>
    <x v="57"/>
    <x v="0"/>
    <x v="158"/>
    <x v="0"/>
    <x v="166"/>
    <x v="0"/>
    <x v="161"/>
    <x v="0"/>
    <x v="0"/>
    <x v="0"/>
    <x v="0"/>
    <x v="0"/>
    <x v="100"/>
    <x v="42"/>
    <x v="76"/>
    <x v="1"/>
    <x v="109"/>
    <x v="88"/>
    <x v="130"/>
    <x v="193"/>
    <x v="223"/>
    <x v="26"/>
    <x v="79"/>
    <x v="79"/>
    <x v="6"/>
    <x v="0"/>
    <x v="24"/>
    <x v="93"/>
    <x v="116"/>
    <x v="0"/>
  </r>
  <r>
    <x v="1"/>
    <x v="0"/>
    <x v="101"/>
    <x v="49"/>
    <x v="82"/>
    <x v="7"/>
    <x v="57"/>
    <x v="0"/>
    <x v="158"/>
    <x v="0"/>
    <x v="166"/>
    <x v="0"/>
    <x v="161"/>
    <x v="0"/>
    <x v="0"/>
    <x v="0"/>
    <x v="0"/>
    <x v="0"/>
    <x v="101"/>
    <x v="49"/>
    <x v="82"/>
    <x v="1"/>
    <x v="99"/>
    <x v="106"/>
    <x v="137"/>
    <x v="216"/>
    <x v="166"/>
    <x v="38"/>
    <x v="85"/>
    <x v="85"/>
    <x v="7"/>
    <x v="0"/>
    <x v="40"/>
    <x v="90"/>
    <x v="106"/>
    <x v="0"/>
  </r>
  <r>
    <x v="1"/>
    <x v="0"/>
    <x v="102"/>
    <x v="53"/>
    <x v="95"/>
    <x v="8"/>
    <x v="57"/>
    <x v="0"/>
    <x v="158"/>
    <x v="0"/>
    <x v="166"/>
    <x v="0"/>
    <x v="161"/>
    <x v="0"/>
    <x v="0"/>
    <x v="0"/>
    <x v="0"/>
    <x v="0"/>
    <x v="102"/>
    <x v="53"/>
    <x v="95"/>
    <x v="1"/>
    <x v="106"/>
    <x v="111"/>
    <x v="134"/>
    <x v="228"/>
    <x v="165"/>
    <x v="10"/>
    <x v="98"/>
    <x v="98"/>
    <x v="16"/>
    <x v="0"/>
    <x v="5"/>
    <x v="86"/>
    <x v="113"/>
    <x v="0"/>
  </r>
  <r>
    <x v="1"/>
    <x v="0"/>
    <x v="103"/>
    <x v="59"/>
    <x v="104"/>
    <x v="9"/>
    <x v="57"/>
    <x v="0"/>
    <x v="158"/>
    <x v="0"/>
    <x v="166"/>
    <x v="0"/>
    <x v="161"/>
    <x v="0"/>
    <x v="0"/>
    <x v="0"/>
    <x v="0"/>
    <x v="0"/>
    <x v="103"/>
    <x v="59"/>
    <x v="104"/>
    <x v="1"/>
    <x v="108"/>
    <x v="107"/>
    <x v="131"/>
    <x v="235"/>
    <x v="164"/>
    <x v="10"/>
    <x v="107"/>
    <x v="107"/>
    <x v="1"/>
    <x v="0"/>
    <x v="5"/>
    <x v="83"/>
    <x v="115"/>
    <x v="0"/>
  </r>
  <r>
    <x v="1"/>
    <x v="0"/>
    <x v="110"/>
    <x v="43"/>
    <x v="16"/>
    <x v="39"/>
    <x v="58"/>
    <x v="1"/>
    <x v="157"/>
    <x v="1"/>
    <x v="165"/>
    <x v="1"/>
    <x v="160"/>
    <x v="1"/>
    <x v="0"/>
    <x v="0"/>
    <x v="0"/>
    <x v="0"/>
    <x v="110"/>
    <x v="43"/>
    <x v="16"/>
    <x v="0"/>
    <x v="1"/>
    <x v="1"/>
    <x v="17"/>
    <x v="15"/>
    <x v="44"/>
    <x v="0"/>
    <x v="19"/>
    <x v="18"/>
    <x v="86"/>
    <x v="0"/>
    <x v="0"/>
    <x v="0"/>
    <x v="0"/>
    <x v="1"/>
  </r>
  <r>
    <x v="1"/>
    <x v="2"/>
    <x v="113"/>
    <x v="47"/>
    <x v="49"/>
    <x v="33"/>
    <x v="57"/>
    <x v="0"/>
    <x v="158"/>
    <x v="0"/>
    <x v="166"/>
    <x v="0"/>
    <x v="161"/>
    <x v="0"/>
    <x v="0"/>
    <x v="0"/>
    <x v="0"/>
    <x v="0"/>
    <x v="113"/>
    <x v="47"/>
    <x v="49"/>
    <x v="1"/>
    <x v="68"/>
    <x v="84"/>
    <x v="133"/>
    <x v="296"/>
    <x v="206"/>
    <x v="39"/>
    <x v="53"/>
    <x v="52"/>
    <x v="4"/>
    <x v="0"/>
    <x v="13"/>
    <x v="81"/>
    <x v="81"/>
    <x v="0"/>
  </r>
  <r>
    <x v="1"/>
    <x v="2"/>
    <x v="115"/>
    <x v="20"/>
    <x v="35"/>
    <x v="7"/>
    <x v="57"/>
    <x v="0"/>
    <x v="158"/>
    <x v="0"/>
    <x v="156"/>
    <x v="1"/>
    <x v="161"/>
    <x v="0"/>
    <x v="0"/>
    <x v="3"/>
    <x v="0"/>
    <x v="0"/>
    <x v="115"/>
    <x v="20"/>
    <x v="35"/>
    <x v="1"/>
    <x v="40"/>
    <x v="126"/>
    <x v="127"/>
    <x v="293"/>
    <x v="295"/>
    <x v="80"/>
    <x v="36"/>
    <x v="36"/>
    <x v="12"/>
    <x v="8"/>
    <x v="36"/>
    <x v="110"/>
    <x v="46"/>
    <x v="0"/>
  </r>
  <r>
    <x v="1"/>
    <x v="2"/>
    <x v="116"/>
    <x v="46"/>
    <x v="42"/>
    <x v="33"/>
    <x v="11"/>
    <x v="1"/>
    <x v="158"/>
    <x v="0"/>
    <x v="108"/>
    <x v="1"/>
    <x v="139"/>
    <x v="1"/>
    <x v="0"/>
    <x v="0"/>
    <x v="0"/>
    <x v="0"/>
    <x v="116"/>
    <x v="46"/>
    <x v="42"/>
    <x v="1"/>
    <x v="12"/>
    <x v="86"/>
    <x v="126"/>
    <x v="262"/>
    <x v="236"/>
    <x v="46"/>
    <x v="44"/>
    <x v="44"/>
    <x v="57"/>
    <x v="0"/>
    <x v="13"/>
    <x v="81"/>
    <x v="52"/>
    <x v="0"/>
  </r>
  <r>
    <x v="1"/>
    <x v="2"/>
    <x v="117"/>
    <x v="14"/>
    <x v="26"/>
    <x v="5"/>
    <x v="21"/>
    <x v="1"/>
    <x v="3"/>
    <x v="1"/>
    <x v="8"/>
    <x v="1"/>
    <x v="9"/>
    <x v="1"/>
    <x v="0"/>
    <x v="13"/>
    <x v="0"/>
    <x v="0"/>
    <x v="117"/>
    <x v="14"/>
    <x v="26"/>
    <x v="1"/>
    <x v="26"/>
    <x v="127"/>
    <x v="127"/>
    <x v="314"/>
    <x v="204"/>
    <x v="106"/>
    <x v="27"/>
    <x v="27"/>
    <x v="19"/>
    <x v="6"/>
    <x v="29"/>
    <x v="114"/>
    <x v="116"/>
    <x v="0"/>
  </r>
  <r>
    <x v="2"/>
    <x v="0"/>
    <x v="1"/>
    <x v="31"/>
    <x v="44"/>
    <x v="37"/>
    <x v="17"/>
    <x v="1"/>
    <x v="158"/>
    <x v="0"/>
    <x v="166"/>
    <x v="0"/>
    <x v="116"/>
    <x v="1"/>
    <x v="0"/>
    <x v="0"/>
    <x v="0"/>
    <x v="0"/>
    <x v="1"/>
    <x v="31"/>
    <x v="44"/>
    <x v="1"/>
    <x v="50"/>
    <x v="124"/>
    <x v="129"/>
    <x v="209"/>
    <x v="307"/>
    <x v="2"/>
    <x v="47"/>
    <x v="47"/>
    <x v="10"/>
    <x v="0"/>
    <x v="1"/>
    <x v="146"/>
    <x v="55"/>
    <x v="0"/>
  </r>
  <r>
    <x v="2"/>
    <x v="0"/>
    <x v="2"/>
    <x v="20"/>
    <x v="19"/>
    <x v="26"/>
    <x v="15"/>
    <x v="1"/>
    <x v="154"/>
    <x v="1"/>
    <x v="133"/>
    <x v="1"/>
    <x v="59"/>
    <x v="1"/>
    <x v="0"/>
    <x v="0"/>
    <x v="0"/>
    <x v="0"/>
    <x v="2"/>
    <x v="20"/>
    <x v="19"/>
    <x v="0"/>
    <x v="16"/>
    <x v="139"/>
    <x v="42"/>
    <x v="51"/>
    <x v="28"/>
    <x v="6"/>
    <x v="21"/>
    <x v="20"/>
    <x v="1"/>
    <x v="0"/>
    <x v="4"/>
    <x v="152"/>
    <x v="25"/>
    <x v="1"/>
  </r>
  <r>
    <x v="2"/>
    <x v="0"/>
    <x v="3"/>
    <x v="11"/>
    <x v="15"/>
    <x v="20"/>
    <x v="16"/>
    <x v="1"/>
    <x v="123"/>
    <x v="1"/>
    <x v="69"/>
    <x v="1"/>
    <x v="33"/>
    <x v="1"/>
    <x v="0"/>
    <x v="0"/>
    <x v="0"/>
    <x v="0"/>
    <x v="3"/>
    <x v="11"/>
    <x v="15"/>
    <x v="0"/>
    <x v="17"/>
    <x v="143"/>
    <x v="113"/>
    <x v="172"/>
    <x v="155"/>
    <x v="42"/>
    <x v="17"/>
    <x v="16"/>
    <x v="8"/>
    <x v="0"/>
    <x v="26"/>
    <x v="156"/>
    <x v="27"/>
    <x v="1"/>
  </r>
  <r>
    <x v="2"/>
    <x v="0"/>
    <x v="4"/>
    <x v="7"/>
    <x v="2"/>
    <x v="13"/>
    <x v="15"/>
    <x v="1"/>
    <x v="131"/>
    <x v="1"/>
    <x v="60"/>
    <x v="1"/>
    <x v="17"/>
    <x v="1"/>
    <x v="0"/>
    <x v="1"/>
    <x v="0"/>
    <x v="0"/>
    <x v="4"/>
    <x v="7"/>
    <x v="2"/>
    <x v="0"/>
    <x v="16"/>
    <x v="139"/>
    <x v="5"/>
    <x v="6"/>
    <x v="3"/>
    <x v="2"/>
    <x v="2"/>
    <x v="2"/>
    <x v="3"/>
    <x v="0"/>
    <x v="1"/>
    <x v="160"/>
    <x v="17"/>
    <x v="1"/>
  </r>
  <r>
    <x v="2"/>
    <x v="0"/>
    <x v="5"/>
    <x v="51"/>
    <x v="41"/>
    <x v="43"/>
    <x v="16"/>
    <x v="1"/>
    <x v="158"/>
    <x v="0"/>
    <x v="166"/>
    <x v="0"/>
    <x v="145"/>
    <x v="1"/>
    <x v="0"/>
    <x v="0"/>
    <x v="0"/>
    <x v="0"/>
    <x v="5"/>
    <x v="51"/>
    <x v="41"/>
    <x v="0"/>
    <x v="17"/>
    <x v="143"/>
    <x v="115"/>
    <x v="105"/>
    <x v="91"/>
    <x v="13"/>
    <x v="43"/>
    <x v="43"/>
    <x v="13"/>
    <x v="0"/>
    <x v="9"/>
    <x v="134"/>
    <x v="53"/>
    <x v="1"/>
  </r>
  <r>
    <x v="2"/>
    <x v="0"/>
    <x v="6"/>
    <x v="26"/>
    <x v="30"/>
    <x v="31"/>
    <x v="16"/>
    <x v="1"/>
    <x v="158"/>
    <x v="0"/>
    <x v="138"/>
    <x v="1"/>
    <x v="66"/>
    <x v="1"/>
    <x v="0"/>
    <x v="0"/>
    <x v="0"/>
    <x v="0"/>
    <x v="6"/>
    <x v="26"/>
    <x v="30"/>
    <x v="1"/>
    <x v="35"/>
    <x v="125"/>
    <x v="134"/>
    <x v="233"/>
    <x v="299"/>
    <x v="2"/>
    <x v="32"/>
    <x v="31"/>
    <x v="3"/>
    <x v="0"/>
    <x v="1"/>
    <x v="149"/>
    <x v="37"/>
    <x v="0"/>
  </r>
  <r>
    <x v="2"/>
    <x v="0"/>
    <x v="7"/>
    <x v="13"/>
    <x v="5"/>
    <x v="21"/>
    <x v="15"/>
    <x v="1"/>
    <x v="158"/>
    <x v="0"/>
    <x v="76"/>
    <x v="1"/>
    <x v="61"/>
    <x v="1"/>
    <x v="0"/>
    <x v="0"/>
    <x v="0"/>
    <x v="0"/>
    <x v="7"/>
    <x v="13"/>
    <x v="5"/>
    <x v="0"/>
    <x v="16"/>
    <x v="139"/>
    <x v="16"/>
    <x v="23"/>
    <x v="8"/>
    <x v="6"/>
    <x v="5"/>
    <x v="5"/>
    <x v="1"/>
    <x v="0"/>
    <x v="3"/>
    <x v="155"/>
    <x v="22"/>
    <x v="1"/>
  </r>
  <r>
    <x v="2"/>
    <x v="0"/>
    <x v="8"/>
    <x v="38"/>
    <x v="41"/>
    <x v="41"/>
    <x v="17"/>
    <x v="1"/>
    <x v="158"/>
    <x v="0"/>
    <x v="166"/>
    <x v="0"/>
    <x v="131"/>
    <x v="1"/>
    <x v="0"/>
    <x v="0"/>
    <x v="0"/>
    <x v="0"/>
    <x v="8"/>
    <x v="38"/>
    <x v="41"/>
    <x v="1"/>
    <x v="36"/>
    <x v="131"/>
    <x v="129"/>
    <x v="212"/>
    <x v="303"/>
    <x v="10"/>
    <x v="42"/>
    <x v="42"/>
    <x v="4"/>
    <x v="0"/>
    <x v="8"/>
    <x v="141"/>
    <x v="58"/>
    <x v="0"/>
  </r>
  <r>
    <x v="2"/>
    <x v="0"/>
    <x v="9"/>
    <x v="25"/>
    <x v="8"/>
    <x v="33"/>
    <x v="15"/>
    <x v="1"/>
    <x v="158"/>
    <x v="0"/>
    <x v="107"/>
    <x v="1"/>
    <x v="111"/>
    <x v="1"/>
    <x v="0"/>
    <x v="0"/>
    <x v="0"/>
    <x v="0"/>
    <x v="9"/>
    <x v="25"/>
    <x v="8"/>
    <x v="0"/>
    <x v="16"/>
    <x v="139"/>
    <x v="68"/>
    <x v="76"/>
    <x v="53"/>
    <x v="25"/>
    <x v="10"/>
    <x v="9"/>
    <x v="2"/>
    <x v="0"/>
    <x v="13"/>
    <x v="150"/>
    <x v="28"/>
    <x v="1"/>
  </r>
  <r>
    <x v="2"/>
    <x v="0"/>
    <x v="10"/>
    <x v="52"/>
    <x v="56"/>
    <x v="42"/>
    <x v="18"/>
    <x v="1"/>
    <x v="158"/>
    <x v="0"/>
    <x v="166"/>
    <x v="0"/>
    <x v="137"/>
    <x v="1"/>
    <x v="0"/>
    <x v="0"/>
    <x v="0"/>
    <x v="0"/>
    <x v="10"/>
    <x v="52"/>
    <x v="56"/>
    <x v="1"/>
    <x v="54"/>
    <x v="120"/>
    <x v="126"/>
    <x v="127"/>
    <x v="218"/>
    <x v="2"/>
    <x v="59"/>
    <x v="59"/>
    <x v="14"/>
    <x v="0"/>
    <x v="1"/>
    <x v="133"/>
    <x v="61"/>
    <x v="0"/>
  </r>
  <r>
    <x v="2"/>
    <x v="1"/>
    <x v="11"/>
    <x v="37"/>
    <x v="36"/>
    <x v="40"/>
    <x v="10"/>
    <x v="1"/>
    <x v="146"/>
    <x v="1"/>
    <x v="166"/>
    <x v="0"/>
    <x v="93"/>
    <x v="1"/>
    <x v="0"/>
    <x v="0"/>
    <x v="0"/>
    <x v="0"/>
    <x v="11"/>
    <x v="37"/>
    <x v="36"/>
    <x v="0"/>
    <x v="11"/>
    <x v="96"/>
    <x v="51"/>
    <x v="52"/>
    <x v="62"/>
    <x v="2"/>
    <x v="37"/>
    <x v="37"/>
    <x v="16"/>
    <x v="0"/>
    <x v="2"/>
    <x v="123"/>
    <x v="32"/>
    <x v="1"/>
  </r>
  <r>
    <x v="2"/>
    <x v="0"/>
    <x v="12"/>
    <x v="48"/>
    <x v="40"/>
    <x v="44"/>
    <x v="1"/>
    <x v="1"/>
    <x v="37"/>
    <x v="1"/>
    <x v="70"/>
    <x v="1"/>
    <x v="1"/>
    <x v="1"/>
    <x v="0"/>
    <x v="0"/>
    <x v="0"/>
    <x v="0"/>
    <x v="12"/>
    <x v="48"/>
    <x v="40"/>
    <x v="0"/>
    <x v="2"/>
    <x v="2"/>
    <x v="82"/>
    <x v="62"/>
    <x v="77"/>
    <x v="0"/>
    <x v="41"/>
    <x v="41"/>
    <x v="101"/>
    <x v="0"/>
    <x v="0"/>
    <x v="0"/>
    <x v="0"/>
    <x v="1"/>
  </r>
  <r>
    <x v="2"/>
    <x v="2"/>
    <x v="14"/>
    <x v="28"/>
    <x v="18"/>
    <x v="23"/>
    <x v="25"/>
    <x v="1"/>
    <x v="158"/>
    <x v="0"/>
    <x v="151"/>
    <x v="1"/>
    <x v="161"/>
    <x v="0"/>
    <x v="0"/>
    <x v="0"/>
    <x v="0"/>
    <x v="0"/>
    <x v="14"/>
    <x v="28"/>
    <x v="18"/>
    <x v="1"/>
    <x v="26"/>
    <x v="148"/>
    <x v="156"/>
    <x v="316"/>
    <x v="297"/>
    <x v="97"/>
    <x v="19"/>
    <x v="19"/>
    <x v="24"/>
    <x v="0"/>
    <x v="21"/>
    <x v="148"/>
    <x v="45"/>
    <x v="0"/>
  </r>
  <r>
    <x v="2"/>
    <x v="2"/>
    <x v="15"/>
    <x v="35"/>
    <x v="28"/>
    <x v="24"/>
    <x v="57"/>
    <x v="0"/>
    <x v="158"/>
    <x v="0"/>
    <x v="166"/>
    <x v="0"/>
    <x v="161"/>
    <x v="0"/>
    <x v="0"/>
    <x v="0"/>
    <x v="0"/>
    <x v="0"/>
    <x v="15"/>
    <x v="35"/>
    <x v="28"/>
    <x v="1"/>
    <x v="30"/>
    <x v="142"/>
    <x v="126"/>
    <x v="292"/>
    <x v="271"/>
    <x v="92"/>
    <x v="31"/>
    <x v="30"/>
    <x v="39"/>
    <x v="0"/>
    <x v="33"/>
    <x v="143"/>
    <x v="54"/>
    <x v="0"/>
  </r>
  <r>
    <x v="2"/>
    <x v="2"/>
    <x v="18"/>
    <x v="10"/>
    <x v="13"/>
    <x v="11"/>
    <x v="23"/>
    <x v="1"/>
    <x v="32"/>
    <x v="1"/>
    <x v="33"/>
    <x v="1"/>
    <x v="9"/>
    <x v="1"/>
    <x v="0"/>
    <x v="10"/>
    <x v="0"/>
    <x v="0"/>
    <x v="18"/>
    <x v="10"/>
    <x v="13"/>
    <x v="0"/>
    <x v="24"/>
    <x v="176"/>
    <x v="81"/>
    <x v="97"/>
    <x v="75"/>
    <x v="65"/>
    <x v="15"/>
    <x v="15"/>
    <x v="26"/>
    <x v="1"/>
    <x v="13"/>
    <x v="157"/>
    <x v="24"/>
    <x v="1"/>
  </r>
  <r>
    <x v="2"/>
    <x v="2"/>
    <x v="19"/>
    <x v="40"/>
    <x v="43"/>
    <x v="26"/>
    <x v="32"/>
    <x v="1"/>
    <x v="158"/>
    <x v="0"/>
    <x v="153"/>
    <x v="1"/>
    <x v="161"/>
    <x v="0"/>
    <x v="0"/>
    <x v="0"/>
    <x v="0"/>
    <x v="0"/>
    <x v="19"/>
    <x v="40"/>
    <x v="43"/>
    <x v="1"/>
    <x v="71"/>
    <x v="133"/>
    <x v="126"/>
    <x v="179"/>
    <x v="213"/>
    <x v="6"/>
    <x v="46"/>
    <x v="46"/>
    <x v="36"/>
    <x v="0"/>
    <x v="4"/>
    <x v="139"/>
    <x v="77"/>
    <x v="0"/>
  </r>
  <r>
    <x v="2"/>
    <x v="2"/>
    <x v="23"/>
    <x v="17"/>
    <x v="17"/>
    <x v="13"/>
    <x v="26"/>
    <x v="1"/>
    <x v="158"/>
    <x v="0"/>
    <x v="79"/>
    <x v="1"/>
    <x v="155"/>
    <x v="1"/>
    <x v="0"/>
    <x v="0"/>
    <x v="0"/>
    <x v="0"/>
    <x v="23"/>
    <x v="17"/>
    <x v="17"/>
    <x v="1"/>
    <x v="27"/>
    <x v="175"/>
    <x v="127"/>
    <x v="309"/>
    <x v="285"/>
    <x v="108"/>
    <x v="18"/>
    <x v="17"/>
    <x v="31"/>
    <x v="11"/>
    <x v="31"/>
    <x v="153"/>
    <x v="38"/>
    <x v="0"/>
  </r>
  <r>
    <x v="2"/>
    <x v="1"/>
    <x v="26"/>
    <x v="61"/>
    <x v="79"/>
    <x v="49"/>
    <x v="1"/>
    <x v="1"/>
    <x v="108"/>
    <x v="1"/>
    <x v="166"/>
    <x v="0"/>
    <x v="4"/>
    <x v="1"/>
    <x v="0"/>
    <x v="0"/>
    <x v="0"/>
    <x v="0"/>
    <x v="26"/>
    <x v="61"/>
    <x v="79"/>
    <x v="0"/>
    <x v="2"/>
    <x v="2"/>
    <x v="111"/>
    <x v="147"/>
    <x v="92"/>
    <x v="0"/>
    <x v="82"/>
    <x v="82"/>
    <x v="91"/>
    <x v="0"/>
    <x v="0"/>
    <x v="0"/>
    <x v="0"/>
    <x v="1"/>
  </r>
  <r>
    <x v="2"/>
    <x v="1"/>
    <x v="27"/>
    <x v="8"/>
    <x v="12"/>
    <x v="12"/>
    <x v="16"/>
    <x v="1"/>
    <x v="70"/>
    <x v="1"/>
    <x v="50"/>
    <x v="1"/>
    <x v="8"/>
    <x v="1"/>
    <x v="0"/>
    <x v="5"/>
    <x v="0"/>
    <x v="0"/>
    <x v="27"/>
    <x v="8"/>
    <x v="12"/>
    <x v="0"/>
    <x v="17"/>
    <x v="143"/>
    <x v="20"/>
    <x v="24"/>
    <x v="13"/>
    <x v="4"/>
    <x v="11"/>
    <x v="11"/>
    <x v="1"/>
    <x v="0"/>
    <x v="2"/>
    <x v="159"/>
    <x v="15"/>
    <x v="1"/>
  </r>
  <r>
    <x v="2"/>
    <x v="0"/>
    <x v="29"/>
    <x v="29"/>
    <x v="34"/>
    <x v="30"/>
    <x v="3"/>
    <x v="1"/>
    <x v="84"/>
    <x v="1"/>
    <x v="139"/>
    <x v="1"/>
    <x v="40"/>
    <x v="1"/>
    <x v="0"/>
    <x v="1"/>
    <x v="0"/>
    <x v="0"/>
    <x v="29"/>
    <x v="29"/>
    <x v="34"/>
    <x v="0"/>
    <x v="4"/>
    <x v="9"/>
    <x v="75"/>
    <x v="59"/>
    <x v="65"/>
    <x v="1"/>
    <x v="36"/>
    <x v="35"/>
    <x v="61"/>
    <x v="0"/>
    <x v="1"/>
    <x v="7"/>
    <x v="5"/>
    <x v="1"/>
  </r>
  <r>
    <x v="2"/>
    <x v="1"/>
    <x v="30"/>
    <x v="17"/>
    <x v="9"/>
    <x v="22"/>
    <x v="12"/>
    <x v="1"/>
    <x v="115"/>
    <x v="1"/>
    <x v="86"/>
    <x v="1"/>
    <x v="35"/>
    <x v="1"/>
    <x v="0"/>
    <x v="0"/>
    <x v="0"/>
    <x v="0"/>
    <x v="30"/>
    <x v="17"/>
    <x v="9"/>
    <x v="0"/>
    <x v="13"/>
    <x v="112"/>
    <x v="36"/>
    <x v="45"/>
    <x v="21"/>
    <x v="7"/>
    <x v="9"/>
    <x v="10"/>
    <x v="31"/>
    <x v="0"/>
    <x v="5"/>
    <x v="124"/>
    <x v="19"/>
    <x v="1"/>
  </r>
  <r>
    <x v="2"/>
    <x v="0"/>
    <x v="31"/>
    <x v="43"/>
    <x v="54"/>
    <x v="28"/>
    <x v="57"/>
    <x v="0"/>
    <x v="158"/>
    <x v="0"/>
    <x v="166"/>
    <x v="0"/>
    <x v="161"/>
    <x v="0"/>
    <x v="0"/>
    <x v="0"/>
    <x v="0"/>
    <x v="0"/>
    <x v="31"/>
    <x v="43"/>
    <x v="54"/>
    <x v="1"/>
    <x v="54"/>
    <x v="151"/>
    <x v="146"/>
    <x v="277"/>
    <x v="269"/>
    <x v="88"/>
    <x v="57"/>
    <x v="57"/>
    <x v="4"/>
    <x v="0"/>
    <x v="46"/>
    <x v="137"/>
    <x v="84"/>
    <x v="0"/>
  </r>
  <r>
    <x v="2"/>
    <x v="2"/>
    <x v="33"/>
    <x v="15"/>
    <x v="23"/>
    <x v="10"/>
    <x v="36"/>
    <x v="1"/>
    <x v="30"/>
    <x v="1"/>
    <x v="20"/>
    <x v="1"/>
    <x v="2"/>
    <x v="1"/>
    <x v="0"/>
    <x v="17"/>
    <x v="0"/>
    <x v="0"/>
    <x v="33"/>
    <x v="15"/>
    <x v="23"/>
    <x v="1"/>
    <x v="109"/>
    <x v="163"/>
    <x v="129"/>
    <x v="313"/>
    <x v="212"/>
    <x v="105"/>
    <x v="22"/>
    <x v="22"/>
    <x v="4"/>
    <x v="9"/>
    <x v="30"/>
    <x v="154"/>
    <x v="116"/>
    <x v="0"/>
  </r>
  <r>
    <x v="2"/>
    <x v="2"/>
    <x v="35"/>
    <x v="21"/>
    <x v="12"/>
    <x v="19"/>
    <x v="25"/>
    <x v="1"/>
    <x v="158"/>
    <x v="0"/>
    <x v="142"/>
    <x v="1"/>
    <x v="161"/>
    <x v="0"/>
    <x v="0"/>
    <x v="0"/>
    <x v="0"/>
    <x v="0"/>
    <x v="35"/>
    <x v="21"/>
    <x v="12"/>
    <x v="1"/>
    <x v="26"/>
    <x v="155"/>
    <x v="128"/>
    <x v="312"/>
    <x v="282"/>
    <x v="109"/>
    <x v="14"/>
    <x v="12"/>
    <x v="41"/>
    <x v="0"/>
    <x v="29"/>
    <x v="151"/>
    <x v="31"/>
    <x v="0"/>
  </r>
  <r>
    <x v="2"/>
    <x v="2"/>
    <x v="36"/>
    <x v="29"/>
    <x v="52"/>
    <x v="11"/>
    <x v="41"/>
    <x v="1"/>
    <x v="137"/>
    <x v="1"/>
    <x v="93"/>
    <x v="1"/>
    <x v="106"/>
    <x v="1"/>
    <x v="0"/>
    <x v="11"/>
    <x v="0"/>
    <x v="0"/>
    <x v="36"/>
    <x v="29"/>
    <x v="52"/>
    <x v="1"/>
    <x v="56"/>
    <x v="144"/>
    <x v="146"/>
    <x v="264"/>
    <x v="265"/>
    <x v="58"/>
    <x v="56"/>
    <x v="56"/>
    <x v="11"/>
    <x v="0"/>
    <x v="25"/>
    <x v="147"/>
    <x v="63"/>
    <x v="0"/>
  </r>
  <r>
    <x v="2"/>
    <x v="1"/>
    <x v="37"/>
    <x v="39"/>
    <x v="45"/>
    <x v="16"/>
    <x v="57"/>
    <x v="0"/>
    <x v="158"/>
    <x v="0"/>
    <x v="166"/>
    <x v="0"/>
    <x v="161"/>
    <x v="0"/>
    <x v="0"/>
    <x v="0"/>
    <x v="0"/>
    <x v="0"/>
    <x v="37"/>
    <x v="39"/>
    <x v="45"/>
    <x v="1"/>
    <x v="64"/>
    <x v="154"/>
    <x v="132"/>
    <x v="294"/>
    <x v="284"/>
    <x v="99"/>
    <x v="49"/>
    <x v="49"/>
    <x v="6"/>
    <x v="0"/>
    <x v="47"/>
    <x v="140"/>
    <x v="81"/>
    <x v="0"/>
  </r>
  <r>
    <x v="2"/>
    <x v="0"/>
    <x v="38"/>
    <x v="41"/>
    <x v="47"/>
    <x v="17"/>
    <x v="57"/>
    <x v="0"/>
    <x v="158"/>
    <x v="0"/>
    <x v="166"/>
    <x v="0"/>
    <x v="161"/>
    <x v="0"/>
    <x v="0"/>
    <x v="0"/>
    <x v="0"/>
    <x v="0"/>
    <x v="38"/>
    <x v="41"/>
    <x v="47"/>
    <x v="1"/>
    <x v="63"/>
    <x v="145"/>
    <x v="138"/>
    <x v="304"/>
    <x v="222"/>
    <x v="59"/>
    <x v="51"/>
    <x v="51"/>
    <x v="16"/>
    <x v="0"/>
    <x v="11"/>
    <x v="138"/>
    <x v="84"/>
    <x v="0"/>
  </r>
  <r>
    <x v="2"/>
    <x v="2"/>
    <x v="39"/>
    <x v="39"/>
    <x v="43"/>
    <x v="27"/>
    <x v="57"/>
    <x v="0"/>
    <x v="158"/>
    <x v="0"/>
    <x v="166"/>
    <x v="0"/>
    <x v="161"/>
    <x v="0"/>
    <x v="0"/>
    <x v="0"/>
    <x v="0"/>
    <x v="0"/>
    <x v="39"/>
    <x v="39"/>
    <x v="43"/>
    <x v="1"/>
    <x v="45"/>
    <x v="156"/>
    <x v="144"/>
    <x v="281"/>
    <x v="277"/>
    <x v="77"/>
    <x v="45"/>
    <x v="45"/>
    <x v="11"/>
    <x v="0"/>
    <x v="43"/>
    <x v="140"/>
    <x v="74"/>
    <x v="0"/>
  </r>
  <r>
    <x v="2"/>
    <x v="0"/>
    <x v="40"/>
    <x v="23"/>
    <x v="25"/>
    <x v="21"/>
    <x v="5"/>
    <x v="1"/>
    <x v="75"/>
    <x v="1"/>
    <x v="131"/>
    <x v="1"/>
    <x v="3"/>
    <x v="1"/>
    <x v="0"/>
    <x v="1"/>
    <x v="0"/>
    <x v="0"/>
    <x v="40"/>
    <x v="23"/>
    <x v="25"/>
    <x v="0"/>
    <x v="6"/>
    <x v="49"/>
    <x v="69"/>
    <x v="50"/>
    <x v="58"/>
    <x v="4"/>
    <x v="28"/>
    <x v="26"/>
    <x v="46"/>
    <x v="0"/>
    <x v="2"/>
    <x v="66"/>
    <x v="4"/>
    <x v="1"/>
  </r>
  <r>
    <x v="2"/>
    <x v="2"/>
    <x v="42"/>
    <x v="15"/>
    <x v="27"/>
    <x v="15"/>
    <x v="22"/>
    <x v="1"/>
    <x v="79"/>
    <x v="1"/>
    <x v="53"/>
    <x v="1"/>
    <x v="119"/>
    <x v="1"/>
    <x v="0"/>
    <x v="0"/>
    <x v="0"/>
    <x v="0"/>
    <x v="42"/>
    <x v="15"/>
    <x v="27"/>
    <x v="0"/>
    <x v="23"/>
    <x v="173"/>
    <x v="107"/>
    <x v="129"/>
    <x v="104"/>
    <x v="68"/>
    <x v="29"/>
    <x v="28"/>
    <x v="19"/>
    <x v="1"/>
    <x v="17"/>
    <x v="135"/>
    <x v="31"/>
    <x v="1"/>
  </r>
  <r>
    <x v="2"/>
    <x v="1"/>
    <x v="43"/>
    <x v="60"/>
    <x v="84"/>
    <x v="34"/>
    <x v="24"/>
    <x v="1"/>
    <x v="158"/>
    <x v="0"/>
    <x v="140"/>
    <x v="1"/>
    <x v="161"/>
    <x v="0"/>
    <x v="0"/>
    <x v="0"/>
    <x v="0"/>
    <x v="0"/>
    <x v="43"/>
    <x v="60"/>
    <x v="84"/>
    <x v="1"/>
    <x v="103"/>
    <x v="117"/>
    <x v="143"/>
    <x v="155"/>
    <x v="107"/>
    <x v="2"/>
    <x v="87"/>
    <x v="87"/>
    <x v="75"/>
    <x v="0"/>
    <x v="1"/>
    <x v="128"/>
    <x v="110"/>
    <x v="0"/>
  </r>
  <r>
    <x v="2"/>
    <x v="0"/>
    <x v="44"/>
    <x v="26"/>
    <x v="21"/>
    <x v="32"/>
    <x v="1"/>
    <x v="1"/>
    <x v="22"/>
    <x v="1"/>
    <x v="36"/>
    <x v="1"/>
    <x v="0"/>
    <x v="1"/>
    <x v="0"/>
    <x v="0"/>
    <x v="0"/>
    <x v="0"/>
    <x v="44"/>
    <x v="26"/>
    <x v="21"/>
    <x v="0"/>
    <x v="2"/>
    <x v="2"/>
    <x v="15"/>
    <x v="16"/>
    <x v="41"/>
    <x v="0"/>
    <x v="25"/>
    <x v="24"/>
    <x v="75"/>
    <x v="0"/>
    <x v="0"/>
    <x v="0"/>
    <x v="0"/>
    <x v="1"/>
  </r>
  <r>
    <x v="2"/>
    <x v="1"/>
    <x v="45"/>
    <x v="5"/>
    <x v="3"/>
    <x v="15"/>
    <x v="5"/>
    <x v="1"/>
    <x v="4"/>
    <x v="1"/>
    <x v="6"/>
    <x v="1"/>
    <x v="0"/>
    <x v="1"/>
    <x v="0"/>
    <x v="2"/>
    <x v="0"/>
    <x v="0"/>
    <x v="45"/>
    <x v="5"/>
    <x v="3"/>
    <x v="0"/>
    <x v="6"/>
    <x v="49"/>
    <x v="0"/>
    <x v="3"/>
    <x v="4"/>
    <x v="0"/>
    <x v="3"/>
    <x v="3"/>
    <x v="6"/>
    <x v="0"/>
    <x v="0"/>
    <x v="0"/>
    <x v="0"/>
    <x v="1"/>
  </r>
  <r>
    <x v="2"/>
    <x v="2"/>
    <x v="46"/>
    <x v="34"/>
    <x v="74"/>
    <x v="30"/>
    <x v="20"/>
    <x v="1"/>
    <x v="64"/>
    <x v="1"/>
    <x v="166"/>
    <x v="0"/>
    <x v="71"/>
    <x v="1"/>
    <x v="0"/>
    <x v="0"/>
    <x v="0"/>
    <x v="0"/>
    <x v="46"/>
    <x v="34"/>
    <x v="74"/>
    <x v="1"/>
    <x v="67"/>
    <x v="134"/>
    <x v="126"/>
    <x v="141"/>
    <x v="190"/>
    <x v="3"/>
    <x v="78"/>
    <x v="77"/>
    <x v="13"/>
    <x v="0"/>
    <x v="2"/>
    <x v="144"/>
    <x v="73"/>
    <x v="0"/>
  </r>
  <r>
    <x v="2"/>
    <x v="2"/>
    <x v="51"/>
    <x v="34"/>
    <x v="88"/>
    <x v="12"/>
    <x v="38"/>
    <x v="1"/>
    <x v="28"/>
    <x v="1"/>
    <x v="16"/>
    <x v="1"/>
    <x v="43"/>
    <x v="1"/>
    <x v="0"/>
    <x v="20"/>
    <x v="0"/>
    <x v="0"/>
    <x v="51"/>
    <x v="34"/>
    <x v="88"/>
    <x v="1"/>
    <x v="39"/>
    <x v="129"/>
    <x v="126"/>
    <x v="221"/>
    <x v="167"/>
    <x v="63"/>
    <x v="91"/>
    <x v="91"/>
    <x v="11"/>
    <x v="7"/>
    <x v="50"/>
    <x v="131"/>
    <x v="75"/>
    <x v="0"/>
  </r>
  <r>
    <x v="2"/>
    <x v="2"/>
    <x v="53"/>
    <x v="34"/>
    <x v="87"/>
    <x v="10"/>
    <x v="40"/>
    <x v="1"/>
    <x v="25"/>
    <x v="1"/>
    <x v="13"/>
    <x v="1"/>
    <x v="70"/>
    <x v="1"/>
    <x v="0"/>
    <x v="22"/>
    <x v="0"/>
    <x v="0"/>
    <x v="53"/>
    <x v="34"/>
    <x v="87"/>
    <x v="1"/>
    <x v="44"/>
    <x v="128"/>
    <x v="128"/>
    <x v="244"/>
    <x v="192"/>
    <x v="51"/>
    <x v="90"/>
    <x v="90"/>
    <x v="17"/>
    <x v="0"/>
    <x v="49"/>
    <x v="126"/>
    <x v="116"/>
    <x v="0"/>
  </r>
  <r>
    <x v="2"/>
    <x v="2"/>
    <x v="54"/>
    <x v="41"/>
    <x v="89"/>
    <x v="30"/>
    <x v="22"/>
    <x v="1"/>
    <x v="69"/>
    <x v="1"/>
    <x v="166"/>
    <x v="0"/>
    <x v="92"/>
    <x v="1"/>
    <x v="0"/>
    <x v="0"/>
    <x v="0"/>
    <x v="0"/>
    <x v="54"/>
    <x v="41"/>
    <x v="89"/>
    <x v="1"/>
    <x v="82"/>
    <x v="123"/>
    <x v="131"/>
    <x v="135"/>
    <x v="156"/>
    <x v="2"/>
    <x v="92"/>
    <x v="92"/>
    <x v="1"/>
    <x v="0"/>
    <x v="1"/>
    <x v="138"/>
    <x v="88"/>
    <x v="0"/>
  </r>
  <r>
    <x v="2"/>
    <x v="2"/>
    <x v="59"/>
    <x v="41"/>
    <x v="96"/>
    <x v="18"/>
    <x v="12"/>
    <x v="1"/>
    <x v="36"/>
    <x v="1"/>
    <x v="166"/>
    <x v="0"/>
    <x v="69"/>
    <x v="1"/>
    <x v="0"/>
    <x v="0"/>
    <x v="0"/>
    <x v="0"/>
    <x v="59"/>
    <x v="41"/>
    <x v="96"/>
    <x v="1"/>
    <x v="79"/>
    <x v="102"/>
    <x v="141"/>
    <x v="171"/>
    <x v="182"/>
    <x v="2"/>
    <x v="99"/>
    <x v="99"/>
    <x v="13"/>
    <x v="0"/>
    <x v="1"/>
    <x v="125"/>
    <x v="86"/>
    <x v="0"/>
  </r>
  <r>
    <x v="2"/>
    <x v="2"/>
    <x v="60"/>
    <x v="43"/>
    <x v="33"/>
    <x v="31"/>
    <x v="57"/>
    <x v="0"/>
    <x v="158"/>
    <x v="0"/>
    <x v="166"/>
    <x v="0"/>
    <x v="161"/>
    <x v="0"/>
    <x v="0"/>
    <x v="0"/>
    <x v="0"/>
    <x v="0"/>
    <x v="60"/>
    <x v="43"/>
    <x v="33"/>
    <x v="1"/>
    <x v="48"/>
    <x v="132"/>
    <x v="132"/>
    <x v="279"/>
    <x v="244"/>
    <x v="21"/>
    <x v="35"/>
    <x v="34"/>
    <x v="50"/>
    <x v="0"/>
    <x v="16"/>
    <x v="137"/>
    <x v="60"/>
    <x v="0"/>
  </r>
  <r>
    <x v="2"/>
    <x v="2"/>
    <x v="62"/>
    <x v="43"/>
    <x v="66"/>
    <x v="10"/>
    <x v="57"/>
    <x v="0"/>
    <x v="158"/>
    <x v="0"/>
    <x v="166"/>
    <x v="0"/>
    <x v="161"/>
    <x v="0"/>
    <x v="0"/>
    <x v="18"/>
    <x v="0"/>
    <x v="0"/>
    <x v="62"/>
    <x v="43"/>
    <x v="66"/>
    <x v="1"/>
    <x v="109"/>
    <x v="132"/>
    <x v="127"/>
    <x v="187"/>
    <x v="234"/>
    <x v="37"/>
    <x v="69"/>
    <x v="69"/>
    <x v="11"/>
    <x v="0"/>
    <x v="38"/>
    <x v="137"/>
    <x v="116"/>
    <x v="0"/>
  </r>
  <r>
    <x v="2"/>
    <x v="2"/>
    <x v="63"/>
    <x v="43"/>
    <x v="60"/>
    <x v="15"/>
    <x v="57"/>
    <x v="0"/>
    <x v="158"/>
    <x v="0"/>
    <x v="166"/>
    <x v="0"/>
    <x v="161"/>
    <x v="0"/>
    <x v="0"/>
    <x v="0"/>
    <x v="0"/>
    <x v="0"/>
    <x v="63"/>
    <x v="43"/>
    <x v="60"/>
    <x v="1"/>
    <x v="86"/>
    <x v="122"/>
    <x v="126"/>
    <x v="229"/>
    <x v="214"/>
    <x v="2"/>
    <x v="63"/>
    <x v="63"/>
    <x v="13"/>
    <x v="0"/>
    <x v="1"/>
    <x v="137"/>
    <x v="92"/>
    <x v="0"/>
  </r>
  <r>
    <x v="2"/>
    <x v="2"/>
    <x v="64"/>
    <x v="43"/>
    <x v="59"/>
    <x v="11"/>
    <x v="57"/>
    <x v="0"/>
    <x v="158"/>
    <x v="0"/>
    <x v="166"/>
    <x v="0"/>
    <x v="161"/>
    <x v="0"/>
    <x v="0"/>
    <x v="5"/>
    <x v="0"/>
    <x v="0"/>
    <x v="64"/>
    <x v="43"/>
    <x v="59"/>
    <x v="1"/>
    <x v="86"/>
    <x v="122"/>
    <x v="127"/>
    <x v="161"/>
    <x v="209"/>
    <x v="2"/>
    <x v="62"/>
    <x v="62"/>
    <x v="40"/>
    <x v="0"/>
    <x v="1"/>
    <x v="137"/>
    <x v="92"/>
    <x v="0"/>
  </r>
  <r>
    <x v="2"/>
    <x v="2"/>
    <x v="67"/>
    <x v="43"/>
    <x v="63"/>
    <x v="14"/>
    <x v="57"/>
    <x v="0"/>
    <x v="158"/>
    <x v="0"/>
    <x v="166"/>
    <x v="0"/>
    <x v="161"/>
    <x v="0"/>
    <x v="0"/>
    <x v="0"/>
    <x v="0"/>
    <x v="0"/>
    <x v="67"/>
    <x v="43"/>
    <x v="63"/>
    <x v="1"/>
    <x v="89"/>
    <x v="132"/>
    <x v="126"/>
    <x v="174"/>
    <x v="262"/>
    <x v="32"/>
    <x v="66"/>
    <x v="66"/>
    <x v="16"/>
    <x v="0"/>
    <x v="34"/>
    <x v="137"/>
    <x v="95"/>
    <x v="0"/>
  </r>
  <r>
    <x v="2"/>
    <x v="2"/>
    <x v="68"/>
    <x v="43"/>
    <x v="65"/>
    <x v="12"/>
    <x v="57"/>
    <x v="0"/>
    <x v="158"/>
    <x v="0"/>
    <x v="166"/>
    <x v="0"/>
    <x v="161"/>
    <x v="0"/>
    <x v="0"/>
    <x v="0"/>
    <x v="0"/>
    <x v="0"/>
    <x v="68"/>
    <x v="43"/>
    <x v="65"/>
    <x v="1"/>
    <x v="109"/>
    <x v="132"/>
    <x v="126"/>
    <x v="253"/>
    <x v="199"/>
    <x v="15"/>
    <x v="68"/>
    <x v="68"/>
    <x v="6"/>
    <x v="0"/>
    <x v="10"/>
    <x v="137"/>
    <x v="116"/>
    <x v="0"/>
  </r>
  <r>
    <x v="2"/>
    <x v="2"/>
    <x v="69"/>
    <x v="43"/>
    <x v="38"/>
    <x v="33"/>
    <x v="16"/>
    <x v="1"/>
    <x v="158"/>
    <x v="0"/>
    <x v="106"/>
    <x v="1"/>
    <x v="142"/>
    <x v="1"/>
    <x v="0"/>
    <x v="0"/>
    <x v="0"/>
    <x v="0"/>
    <x v="69"/>
    <x v="43"/>
    <x v="38"/>
    <x v="0"/>
    <x v="17"/>
    <x v="143"/>
    <x v="108"/>
    <x v="122"/>
    <x v="90"/>
    <x v="52"/>
    <x v="39"/>
    <x v="39"/>
    <x v="51"/>
    <x v="0"/>
    <x v="12"/>
    <x v="130"/>
    <x v="42"/>
    <x v="1"/>
  </r>
  <r>
    <x v="2"/>
    <x v="2"/>
    <x v="70"/>
    <x v="43"/>
    <x v="31"/>
    <x v="37"/>
    <x v="19"/>
    <x v="1"/>
    <x v="158"/>
    <x v="0"/>
    <x v="127"/>
    <x v="1"/>
    <x v="161"/>
    <x v="0"/>
    <x v="0"/>
    <x v="0"/>
    <x v="0"/>
    <x v="0"/>
    <x v="70"/>
    <x v="43"/>
    <x v="31"/>
    <x v="1"/>
    <x v="20"/>
    <x v="141"/>
    <x v="141"/>
    <x v="307"/>
    <x v="249"/>
    <x v="78"/>
    <x v="33"/>
    <x v="32"/>
    <x v="63"/>
    <x v="0"/>
    <x v="16"/>
    <x v="129"/>
    <x v="41"/>
    <x v="0"/>
  </r>
  <r>
    <x v="2"/>
    <x v="2"/>
    <x v="71"/>
    <x v="26"/>
    <x v="64"/>
    <x v="25"/>
    <x v="19"/>
    <x v="1"/>
    <x v="61"/>
    <x v="1"/>
    <x v="166"/>
    <x v="0"/>
    <x v="48"/>
    <x v="1"/>
    <x v="0"/>
    <x v="0"/>
    <x v="0"/>
    <x v="0"/>
    <x v="71"/>
    <x v="26"/>
    <x v="64"/>
    <x v="1"/>
    <x v="51"/>
    <x v="136"/>
    <x v="130"/>
    <x v="232"/>
    <x v="234"/>
    <x v="15"/>
    <x v="67"/>
    <x v="67"/>
    <x v="14"/>
    <x v="0"/>
    <x v="13"/>
    <x v="149"/>
    <x v="56"/>
    <x v="0"/>
  </r>
  <r>
    <x v="2"/>
    <x v="2"/>
    <x v="74"/>
    <x v="26"/>
    <x v="73"/>
    <x v="10"/>
    <x v="39"/>
    <x v="1"/>
    <x v="16"/>
    <x v="1"/>
    <x v="7"/>
    <x v="1"/>
    <x v="1"/>
    <x v="1"/>
    <x v="0"/>
    <x v="21"/>
    <x v="0"/>
    <x v="0"/>
    <x v="74"/>
    <x v="26"/>
    <x v="73"/>
    <x v="0"/>
    <x v="40"/>
    <x v="185"/>
    <x v="119"/>
    <x v="201"/>
    <x v="119"/>
    <x v="57"/>
    <x v="76"/>
    <x v="76"/>
    <x v="3"/>
    <x v="0"/>
    <x v="41"/>
    <x v="149"/>
    <x v="56"/>
    <x v="1"/>
  </r>
  <r>
    <x v="2"/>
    <x v="1"/>
    <x v="77"/>
    <x v="24"/>
    <x v="21"/>
    <x v="29"/>
    <x v="2"/>
    <x v="1"/>
    <x v="26"/>
    <x v="1"/>
    <x v="29"/>
    <x v="1"/>
    <x v="0"/>
    <x v="1"/>
    <x v="0"/>
    <x v="0"/>
    <x v="0"/>
    <x v="0"/>
    <x v="77"/>
    <x v="24"/>
    <x v="21"/>
    <x v="0"/>
    <x v="3"/>
    <x v="3"/>
    <x v="25"/>
    <x v="18"/>
    <x v="40"/>
    <x v="0"/>
    <x v="24"/>
    <x v="23"/>
    <x v="65"/>
    <x v="0"/>
    <x v="0"/>
    <x v="0"/>
    <x v="0"/>
    <x v="1"/>
  </r>
  <r>
    <x v="2"/>
    <x v="0"/>
    <x v="81"/>
    <x v="44"/>
    <x v="32"/>
    <x v="36"/>
    <x v="3"/>
    <x v="1"/>
    <x v="158"/>
    <x v="0"/>
    <x v="109"/>
    <x v="1"/>
    <x v="50"/>
    <x v="1"/>
    <x v="0"/>
    <x v="0"/>
    <x v="0"/>
    <x v="0"/>
    <x v="81"/>
    <x v="44"/>
    <x v="32"/>
    <x v="0"/>
    <x v="4"/>
    <x v="9"/>
    <x v="49"/>
    <x v="63"/>
    <x v="59"/>
    <x v="0"/>
    <x v="34"/>
    <x v="33"/>
    <x v="79"/>
    <x v="0"/>
    <x v="0"/>
    <x v="0"/>
    <x v="0"/>
    <x v="1"/>
  </r>
  <r>
    <x v="2"/>
    <x v="0"/>
    <x v="82"/>
    <x v="44"/>
    <x v="62"/>
    <x v="13"/>
    <x v="57"/>
    <x v="0"/>
    <x v="158"/>
    <x v="0"/>
    <x v="166"/>
    <x v="0"/>
    <x v="161"/>
    <x v="0"/>
    <x v="0"/>
    <x v="0"/>
    <x v="0"/>
    <x v="0"/>
    <x v="82"/>
    <x v="44"/>
    <x v="62"/>
    <x v="1"/>
    <x v="109"/>
    <x v="121"/>
    <x v="134"/>
    <x v="112"/>
    <x v="97"/>
    <x v="6"/>
    <x v="65"/>
    <x v="65"/>
    <x v="32"/>
    <x v="0"/>
    <x v="5"/>
    <x v="136"/>
    <x v="116"/>
    <x v="0"/>
  </r>
  <r>
    <x v="2"/>
    <x v="0"/>
    <x v="84"/>
    <x v="34"/>
    <x v="11"/>
    <x v="27"/>
    <x v="14"/>
    <x v="1"/>
    <x v="158"/>
    <x v="0"/>
    <x v="92"/>
    <x v="1"/>
    <x v="107"/>
    <x v="1"/>
    <x v="0"/>
    <x v="0"/>
    <x v="0"/>
    <x v="0"/>
    <x v="84"/>
    <x v="34"/>
    <x v="11"/>
    <x v="0"/>
    <x v="15"/>
    <x v="126"/>
    <x v="60"/>
    <x v="74"/>
    <x v="36"/>
    <x v="8"/>
    <x v="16"/>
    <x v="12"/>
    <x v="84"/>
    <x v="0"/>
    <x v="3"/>
    <x v="130"/>
    <x v="11"/>
    <x v="1"/>
  </r>
  <r>
    <x v="2"/>
    <x v="0"/>
    <x v="85"/>
    <x v="34"/>
    <x v="11"/>
    <x v="27"/>
    <x v="14"/>
    <x v="1"/>
    <x v="158"/>
    <x v="0"/>
    <x v="97"/>
    <x v="1"/>
    <x v="78"/>
    <x v="1"/>
    <x v="0"/>
    <x v="0"/>
    <x v="0"/>
    <x v="0"/>
    <x v="85"/>
    <x v="34"/>
    <x v="11"/>
    <x v="0"/>
    <x v="15"/>
    <x v="126"/>
    <x v="52"/>
    <x v="72"/>
    <x v="33"/>
    <x v="2"/>
    <x v="16"/>
    <x v="12"/>
    <x v="82"/>
    <x v="0"/>
    <x v="1"/>
    <x v="127"/>
    <x v="12"/>
    <x v="1"/>
  </r>
  <r>
    <x v="2"/>
    <x v="0"/>
    <x v="86"/>
    <x v="30"/>
    <x v="7"/>
    <x v="23"/>
    <x v="14"/>
    <x v="1"/>
    <x v="158"/>
    <x v="0"/>
    <x v="103"/>
    <x v="1"/>
    <x v="80"/>
    <x v="1"/>
    <x v="0"/>
    <x v="0"/>
    <x v="0"/>
    <x v="0"/>
    <x v="86"/>
    <x v="30"/>
    <x v="7"/>
    <x v="0"/>
    <x v="15"/>
    <x v="126"/>
    <x v="47"/>
    <x v="64"/>
    <x v="22"/>
    <x v="2"/>
    <x v="8"/>
    <x v="7"/>
    <x v="69"/>
    <x v="0"/>
    <x v="1"/>
    <x v="130"/>
    <x v="28"/>
    <x v="1"/>
  </r>
  <r>
    <x v="2"/>
    <x v="0"/>
    <x v="87"/>
    <x v="30"/>
    <x v="7"/>
    <x v="23"/>
    <x v="13"/>
    <x v="1"/>
    <x v="158"/>
    <x v="0"/>
    <x v="94"/>
    <x v="1"/>
    <x v="77"/>
    <x v="1"/>
    <x v="0"/>
    <x v="0"/>
    <x v="0"/>
    <x v="0"/>
    <x v="87"/>
    <x v="30"/>
    <x v="7"/>
    <x v="0"/>
    <x v="14"/>
    <x v="119"/>
    <x v="35"/>
    <x v="48"/>
    <x v="24"/>
    <x v="1"/>
    <x v="8"/>
    <x v="7"/>
    <x v="64"/>
    <x v="0"/>
    <x v="1"/>
    <x v="130"/>
    <x v="13"/>
    <x v="1"/>
  </r>
  <r>
    <x v="2"/>
    <x v="0"/>
    <x v="88"/>
    <x v="57"/>
    <x v="99"/>
    <x v="47"/>
    <x v="58"/>
    <x v="1"/>
    <x v="157"/>
    <x v="1"/>
    <x v="165"/>
    <x v="1"/>
    <x v="160"/>
    <x v="1"/>
    <x v="0"/>
    <x v="0"/>
    <x v="0"/>
    <x v="0"/>
    <x v="88"/>
    <x v="57"/>
    <x v="99"/>
    <x v="0"/>
    <x v="0"/>
    <x v="0"/>
    <x v="93"/>
    <x v="29"/>
    <x v="109"/>
    <x v="0"/>
    <x v="103"/>
    <x v="103"/>
    <x v="0"/>
    <x v="0"/>
    <x v="0"/>
    <x v="0"/>
    <x v="0"/>
    <x v="1"/>
  </r>
  <r>
    <x v="2"/>
    <x v="0"/>
    <x v="89"/>
    <x v="54"/>
    <x v="101"/>
    <x v="45"/>
    <x v="17"/>
    <x v="1"/>
    <x v="126"/>
    <x v="1"/>
    <x v="166"/>
    <x v="0"/>
    <x v="10"/>
    <x v="1"/>
    <x v="0"/>
    <x v="3"/>
    <x v="0"/>
    <x v="0"/>
    <x v="89"/>
    <x v="54"/>
    <x v="101"/>
    <x v="1"/>
    <x v="42"/>
    <x v="5"/>
    <x v="126"/>
    <x v="223"/>
    <x v="134"/>
    <x v="2"/>
    <x v="104"/>
    <x v="104"/>
    <x v="90"/>
    <x v="0"/>
    <x v="1"/>
    <x v="4"/>
    <x v="45"/>
    <x v="0"/>
  </r>
  <r>
    <x v="2"/>
    <x v="0"/>
    <x v="90"/>
    <x v="55"/>
    <x v="102"/>
    <x v="45"/>
    <x v="17"/>
    <x v="1"/>
    <x v="121"/>
    <x v="1"/>
    <x v="166"/>
    <x v="0"/>
    <x v="121"/>
    <x v="1"/>
    <x v="0"/>
    <x v="3"/>
    <x v="0"/>
    <x v="0"/>
    <x v="90"/>
    <x v="55"/>
    <x v="102"/>
    <x v="1"/>
    <x v="43"/>
    <x v="5"/>
    <x v="133"/>
    <x v="226"/>
    <x v="130"/>
    <x v="2"/>
    <x v="105"/>
    <x v="105"/>
    <x v="93"/>
    <x v="0"/>
    <x v="1"/>
    <x v="4"/>
    <x v="46"/>
    <x v="0"/>
  </r>
  <r>
    <x v="2"/>
    <x v="0"/>
    <x v="91"/>
    <x v="56"/>
    <x v="103"/>
    <x v="46"/>
    <x v="17"/>
    <x v="1"/>
    <x v="117"/>
    <x v="1"/>
    <x v="166"/>
    <x v="0"/>
    <x v="13"/>
    <x v="1"/>
    <x v="0"/>
    <x v="3"/>
    <x v="0"/>
    <x v="0"/>
    <x v="91"/>
    <x v="56"/>
    <x v="103"/>
    <x v="1"/>
    <x v="46"/>
    <x v="4"/>
    <x v="138"/>
    <x v="196"/>
    <x v="124"/>
    <x v="2"/>
    <x v="106"/>
    <x v="106"/>
    <x v="71"/>
    <x v="0"/>
    <x v="1"/>
    <x v="3"/>
    <x v="51"/>
    <x v="0"/>
  </r>
  <r>
    <x v="2"/>
    <x v="0"/>
    <x v="94"/>
    <x v="9"/>
    <x v="20"/>
    <x v="18"/>
    <x v="17"/>
    <x v="1"/>
    <x v="125"/>
    <x v="1"/>
    <x v="141"/>
    <x v="1"/>
    <x v="24"/>
    <x v="1"/>
    <x v="0"/>
    <x v="3"/>
    <x v="0"/>
    <x v="0"/>
    <x v="94"/>
    <x v="9"/>
    <x v="20"/>
    <x v="0"/>
    <x v="18"/>
    <x v="146"/>
    <x v="57"/>
    <x v="66"/>
    <x v="48"/>
    <x v="24"/>
    <x v="20"/>
    <x v="21"/>
    <x v="5"/>
    <x v="0"/>
    <x v="14"/>
    <x v="158"/>
    <x v="23"/>
    <x v="1"/>
  </r>
  <r>
    <x v="2"/>
    <x v="0"/>
    <x v="95"/>
    <x v="32"/>
    <x v="55"/>
    <x v="38"/>
    <x v="18"/>
    <x v="1"/>
    <x v="158"/>
    <x v="0"/>
    <x v="166"/>
    <x v="0"/>
    <x v="104"/>
    <x v="1"/>
    <x v="0"/>
    <x v="0"/>
    <x v="0"/>
    <x v="0"/>
    <x v="95"/>
    <x v="32"/>
    <x v="55"/>
    <x v="1"/>
    <x v="40"/>
    <x v="135"/>
    <x v="132"/>
    <x v="217"/>
    <x v="294"/>
    <x v="12"/>
    <x v="58"/>
    <x v="58"/>
    <x v="16"/>
    <x v="0"/>
    <x v="9"/>
    <x v="145"/>
    <x v="43"/>
    <x v="0"/>
  </r>
  <r>
    <x v="2"/>
    <x v="0"/>
    <x v="96"/>
    <x v="58"/>
    <x v="80"/>
    <x v="48"/>
    <x v="19"/>
    <x v="1"/>
    <x v="158"/>
    <x v="0"/>
    <x v="166"/>
    <x v="0"/>
    <x v="149"/>
    <x v="1"/>
    <x v="0"/>
    <x v="0"/>
    <x v="0"/>
    <x v="0"/>
    <x v="96"/>
    <x v="58"/>
    <x v="80"/>
    <x v="1"/>
    <x v="83"/>
    <x v="130"/>
    <x v="131"/>
    <x v="175"/>
    <x v="224"/>
    <x v="3"/>
    <x v="83"/>
    <x v="83"/>
    <x v="37"/>
    <x v="0"/>
    <x v="2"/>
    <x v="132"/>
    <x v="89"/>
    <x v="0"/>
  </r>
  <r>
    <x v="2"/>
    <x v="1"/>
    <x v="97"/>
    <x v="36"/>
    <x v="37"/>
    <x v="35"/>
    <x v="18"/>
    <x v="1"/>
    <x v="158"/>
    <x v="0"/>
    <x v="129"/>
    <x v="1"/>
    <x v="136"/>
    <x v="1"/>
    <x v="0"/>
    <x v="0"/>
    <x v="0"/>
    <x v="0"/>
    <x v="97"/>
    <x v="36"/>
    <x v="37"/>
    <x v="0"/>
    <x v="19"/>
    <x v="149"/>
    <x v="125"/>
    <x v="234"/>
    <x v="188"/>
    <x v="15"/>
    <x v="38"/>
    <x v="38"/>
    <x v="22"/>
    <x v="0"/>
    <x v="4"/>
    <x v="142"/>
    <x v="36"/>
    <x v="1"/>
  </r>
  <r>
    <x v="2"/>
    <x v="0"/>
    <x v="110"/>
    <x v="43"/>
    <x v="16"/>
    <x v="39"/>
    <x v="0"/>
    <x v="1"/>
    <x v="122"/>
    <x v="1"/>
    <x v="100"/>
    <x v="1"/>
    <x v="0"/>
    <x v="1"/>
    <x v="0"/>
    <x v="0"/>
    <x v="0"/>
    <x v="0"/>
    <x v="110"/>
    <x v="43"/>
    <x v="16"/>
    <x v="0"/>
    <x v="1"/>
    <x v="1"/>
    <x v="19"/>
    <x v="22"/>
    <x v="42"/>
    <x v="0"/>
    <x v="19"/>
    <x v="18"/>
    <x v="77"/>
    <x v="0"/>
    <x v="0"/>
    <x v="0"/>
    <x v="0"/>
    <x v="1"/>
  </r>
  <r>
    <x v="2"/>
    <x v="2"/>
    <x v="113"/>
    <x v="47"/>
    <x v="49"/>
    <x v="33"/>
    <x v="57"/>
    <x v="0"/>
    <x v="158"/>
    <x v="0"/>
    <x v="166"/>
    <x v="0"/>
    <x v="161"/>
    <x v="0"/>
    <x v="0"/>
    <x v="0"/>
    <x v="0"/>
    <x v="0"/>
    <x v="113"/>
    <x v="47"/>
    <x v="49"/>
    <x v="1"/>
    <x v="66"/>
    <x v="143"/>
    <x v="149"/>
    <x v="291"/>
    <x v="216"/>
    <x v="44"/>
    <x v="53"/>
    <x v="52"/>
    <x v="5"/>
    <x v="0"/>
    <x v="14"/>
    <x v="130"/>
    <x v="85"/>
    <x v="0"/>
  </r>
  <r>
    <x v="2"/>
    <x v="2"/>
    <x v="116"/>
    <x v="46"/>
    <x v="42"/>
    <x v="33"/>
    <x v="20"/>
    <x v="1"/>
    <x v="158"/>
    <x v="0"/>
    <x v="120"/>
    <x v="1"/>
    <x v="161"/>
    <x v="0"/>
    <x v="0"/>
    <x v="0"/>
    <x v="0"/>
    <x v="0"/>
    <x v="116"/>
    <x v="46"/>
    <x v="42"/>
    <x v="1"/>
    <x v="23"/>
    <x v="138"/>
    <x v="126"/>
    <x v="231"/>
    <x v="202"/>
    <x v="50"/>
    <x v="44"/>
    <x v="44"/>
    <x v="81"/>
    <x v="0"/>
    <x v="16"/>
    <x v="130"/>
    <x v="52"/>
    <x v="0"/>
  </r>
  <r>
    <x v="3"/>
    <x v="0"/>
    <x v="1"/>
    <x v="31"/>
    <x v="44"/>
    <x v="37"/>
    <x v="21"/>
    <x v="1"/>
    <x v="158"/>
    <x v="0"/>
    <x v="166"/>
    <x v="0"/>
    <x v="79"/>
    <x v="1"/>
    <x v="0"/>
    <x v="0"/>
    <x v="0"/>
    <x v="0"/>
    <x v="1"/>
    <x v="31"/>
    <x v="44"/>
    <x v="1"/>
    <x v="33"/>
    <x v="153"/>
    <x v="128"/>
    <x v="206"/>
    <x v="305"/>
    <x v="2"/>
    <x v="47"/>
    <x v="47"/>
    <x v="8"/>
    <x v="0"/>
    <x v="1"/>
    <x v="182"/>
    <x v="35"/>
    <x v="0"/>
  </r>
  <r>
    <x v="3"/>
    <x v="0"/>
    <x v="2"/>
    <x v="20"/>
    <x v="19"/>
    <x v="26"/>
    <x v="21"/>
    <x v="1"/>
    <x v="158"/>
    <x v="0"/>
    <x v="132"/>
    <x v="1"/>
    <x v="76"/>
    <x v="1"/>
    <x v="0"/>
    <x v="0"/>
    <x v="0"/>
    <x v="0"/>
    <x v="2"/>
    <x v="20"/>
    <x v="19"/>
    <x v="0"/>
    <x v="22"/>
    <x v="170"/>
    <x v="71"/>
    <x v="83"/>
    <x v="63"/>
    <x v="28"/>
    <x v="21"/>
    <x v="20"/>
    <x v="6"/>
    <x v="0"/>
    <x v="19"/>
    <x v="187"/>
    <x v="26"/>
    <x v="1"/>
  </r>
  <r>
    <x v="3"/>
    <x v="0"/>
    <x v="3"/>
    <x v="11"/>
    <x v="15"/>
    <x v="20"/>
    <x v="22"/>
    <x v="1"/>
    <x v="139"/>
    <x v="1"/>
    <x v="61"/>
    <x v="1"/>
    <x v="27"/>
    <x v="1"/>
    <x v="0"/>
    <x v="6"/>
    <x v="0"/>
    <x v="0"/>
    <x v="3"/>
    <x v="11"/>
    <x v="15"/>
    <x v="0"/>
    <x v="23"/>
    <x v="173"/>
    <x v="45"/>
    <x v="54"/>
    <x v="26"/>
    <x v="12"/>
    <x v="17"/>
    <x v="16"/>
    <x v="8"/>
    <x v="0"/>
    <x v="7"/>
    <x v="189"/>
    <x v="28"/>
    <x v="1"/>
  </r>
  <r>
    <x v="3"/>
    <x v="0"/>
    <x v="5"/>
    <x v="51"/>
    <x v="41"/>
    <x v="43"/>
    <x v="21"/>
    <x v="1"/>
    <x v="158"/>
    <x v="0"/>
    <x v="166"/>
    <x v="0"/>
    <x v="148"/>
    <x v="1"/>
    <x v="0"/>
    <x v="0"/>
    <x v="0"/>
    <x v="0"/>
    <x v="5"/>
    <x v="51"/>
    <x v="41"/>
    <x v="0"/>
    <x v="22"/>
    <x v="170"/>
    <x v="105"/>
    <x v="104"/>
    <x v="82"/>
    <x v="17"/>
    <x v="43"/>
    <x v="43"/>
    <x v="6"/>
    <x v="0"/>
    <x v="10"/>
    <x v="171"/>
    <x v="58"/>
    <x v="1"/>
  </r>
  <r>
    <x v="3"/>
    <x v="0"/>
    <x v="6"/>
    <x v="26"/>
    <x v="30"/>
    <x v="31"/>
    <x v="24"/>
    <x v="1"/>
    <x v="158"/>
    <x v="0"/>
    <x v="155"/>
    <x v="1"/>
    <x v="117"/>
    <x v="1"/>
    <x v="0"/>
    <x v="0"/>
    <x v="0"/>
    <x v="0"/>
    <x v="6"/>
    <x v="26"/>
    <x v="30"/>
    <x v="1"/>
    <x v="25"/>
    <x v="162"/>
    <x v="127"/>
    <x v="270"/>
    <x v="302"/>
    <x v="27"/>
    <x v="32"/>
    <x v="31"/>
    <x v="2"/>
    <x v="0"/>
    <x v="14"/>
    <x v="184"/>
    <x v="37"/>
    <x v="0"/>
  </r>
  <r>
    <x v="3"/>
    <x v="0"/>
    <x v="7"/>
    <x v="13"/>
    <x v="5"/>
    <x v="21"/>
    <x v="20"/>
    <x v="1"/>
    <x v="158"/>
    <x v="0"/>
    <x v="75"/>
    <x v="1"/>
    <x v="63"/>
    <x v="1"/>
    <x v="0"/>
    <x v="0"/>
    <x v="0"/>
    <x v="0"/>
    <x v="7"/>
    <x v="13"/>
    <x v="5"/>
    <x v="0"/>
    <x v="21"/>
    <x v="164"/>
    <x v="22"/>
    <x v="26"/>
    <x v="9"/>
    <x v="10"/>
    <x v="5"/>
    <x v="5"/>
    <x v="1"/>
    <x v="0"/>
    <x v="7"/>
    <x v="188"/>
    <x v="23"/>
    <x v="1"/>
  </r>
  <r>
    <x v="3"/>
    <x v="0"/>
    <x v="8"/>
    <x v="38"/>
    <x v="41"/>
    <x v="41"/>
    <x v="22"/>
    <x v="1"/>
    <x v="158"/>
    <x v="0"/>
    <x v="166"/>
    <x v="0"/>
    <x v="128"/>
    <x v="1"/>
    <x v="0"/>
    <x v="0"/>
    <x v="0"/>
    <x v="0"/>
    <x v="8"/>
    <x v="38"/>
    <x v="41"/>
    <x v="1"/>
    <x v="23"/>
    <x v="161"/>
    <x v="135"/>
    <x v="249"/>
    <x v="300"/>
    <x v="25"/>
    <x v="42"/>
    <x v="42"/>
    <x v="10"/>
    <x v="0"/>
    <x v="11"/>
    <x v="177"/>
    <x v="42"/>
    <x v="0"/>
  </r>
  <r>
    <x v="3"/>
    <x v="0"/>
    <x v="9"/>
    <x v="25"/>
    <x v="8"/>
    <x v="33"/>
    <x v="20"/>
    <x v="1"/>
    <x v="158"/>
    <x v="0"/>
    <x v="106"/>
    <x v="1"/>
    <x v="103"/>
    <x v="1"/>
    <x v="0"/>
    <x v="0"/>
    <x v="0"/>
    <x v="0"/>
    <x v="9"/>
    <x v="25"/>
    <x v="8"/>
    <x v="0"/>
    <x v="21"/>
    <x v="164"/>
    <x v="44"/>
    <x v="60"/>
    <x v="16"/>
    <x v="9"/>
    <x v="10"/>
    <x v="9"/>
    <x v="5"/>
    <x v="0"/>
    <x v="6"/>
    <x v="185"/>
    <x v="26"/>
    <x v="1"/>
  </r>
  <r>
    <x v="3"/>
    <x v="0"/>
    <x v="10"/>
    <x v="52"/>
    <x v="56"/>
    <x v="42"/>
    <x v="21"/>
    <x v="1"/>
    <x v="158"/>
    <x v="0"/>
    <x v="166"/>
    <x v="0"/>
    <x v="126"/>
    <x v="1"/>
    <x v="0"/>
    <x v="0"/>
    <x v="0"/>
    <x v="0"/>
    <x v="10"/>
    <x v="52"/>
    <x v="56"/>
    <x v="1"/>
    <x v="58"/>
    <x v="150"/>
    <x v="126"/>
    <x v="124"/>
    <x v="220"/>
    <x v="2"/>
    <x v="59"/>
    <x v="59"/>
    <x v="8"/>
    <x v="0"/>
    <x v="1"/>
    <x v="170"/>
    <x v="65"/>
    <x v="0"/>
  </r>
  <r>
    <x v="3"/>
    <x v="1"/>
    <x v="11"/>
    <x v="37"/>
    <x v="36"/>
    <x v="40"/>
    <x v="15"/>
    <x v="1"/>
    <x v="158"/>
    <x v="0"/>
    <x v="160"/>
    <x v="1"/>
    <x v="109"/>
    <x v="1"/>
    <x v="0"/>
    <x v="0"/>
    <x v="0"/>
    <x v="0"/>
    <x v="11"/>
    <x v="37"/>
    <x v="36"/>
    <x v="0"/>
    <x v="16"/>
    <x v="139"/>
    <x v="76"/>
    <x v="79"/>
    <x v="69"/>
    <x v="9"/>
    <x v="37"/>
    <x v="37"/>
    <x v="20"/>
    <x v="0"/>
    <x v="8"/>
    <x v="161"/>
    <x v="39"/>
    <x v="1"/>
  </r>
  <r>
    <x v="3"/>
    <x v="0"/>
    <x v="12"/>
    <x v="48"/>
    <x v="40"/>
    <x v="44"/>
    <x v="1"/>
    <x v="1"/>
    <x v="48"/>
    <x v="1"/>
    <x v="135"/>
    <x v="1"/>
    <x v="1"/>
    <x v="1"/>
    <x v="0"/>
    <x v="0"/>
    <x v="0"/>
    <x v="0"/>
    <x v="12"/>
    <x v="48"/>
    <x v="40"/>
    <x v="0"/>
    <x v="2"/>
    <x v="2"/>
    <x v="104"/>
    <x v="84"/>
    <x v="86"/>
    <x v="0"/>
    <x v="41"/>
    <x v="41"/>
    <x v="102"/>
    <x v="0"/>
    <x v="0"/>
    <x v="0"/>
    <x v="0"/>
    <x v="1"/>
  </r>
  <r>
    <x v="3"/>
    <x v="2"/>
    <x v="14"/>
    <x v="28"/>
    <x v="18"/>
    <x v="23"/>
    <x v="31"/>
    <x v="1"/>
    <x v="158"/>
    <x v="0"/>
    <x v="148"/>
    <x v="1"/>
    <x v="161"/>
    <x v="0"/>
    <x v="0"/>
    <x v="0"/>
    <x v="0"/>
    <x v="0"/>
    <x v="14"/>
    <x v="28"/>
    <x v="18"/>
    <x v="1"/>
    <x v="29"/>
    <x v="179"/>
    <x v="129"/>
    <x v="315"/>
    <x v="301"/>
    <x v="104"/>
    <x v="19"/>
    <x v="19"/>
    <x v="13"/>
    <x v="0"/>
    <x v="29"/>
    <x v="183"/>
    <x v="48"/>
    <x v="0"/>
  </r>
  <r>
    <x v="3"/>
    <x v="2"/>
    <x v="15"/>
    <x v="35"/>
    <x v="28"/>
    <x v="24"/>
    <x v="57"/>
    <x v="0"/>
    <x v="158"/>
    <x v="0"/>
    <x v="166"/>
    <x v="0"/>
    <x v="161"/>
    <x v="0"/>
    <x v="0"/>
    <x v="0"/>
    <x v="0"/>
    <x v="0"/>
    <x v="15"/>
    <x v="35"/>
    <x v="28"/>
    <x v="1"/>
    <x v="44"/>
    <x v="172"/>
    <x v="131"/>
    <x v="299"/>
    <x v="253"/>
    <x v="95"/>
    <x v="31"/>
    <x v="30"/>
    <x v="30"/>
    <x v="0"/>
    <x v="39"/>
    <x v="179"/>
    <x v="59"/>
    <x v="0"/>
  </r>
  <r>
    <x v="3"/>
    <x v="2"/>
    <x v="19"/>
    <x v="40"/>
    <x v="43"/>
    <x v="26"/>
    <x v="37"/>
    <x v="1"/>
    <x v="158"/>
    <x v="0"/>
    <x v="147"/>
    <x v="1"/>
    <x v="161"/>
    <x v="0"/>
    <x v="0"/>
    <x v="0"/>
    <x v="0"/>
    <x v="0"/>
    <x v="19"/>
    <x v="40"/>
    <x v="43"/>
    <x v="1"/>
    <x v="53"/>
    <x v="166"/>
    <x v="143"/>
    <x v="268"/>
    <x v="235"/>
    <x v="31"/>
    <x v="46"/>
    <x v="46"/>
    <x v="28"/>
    <x v="0"/>
    <x v="12"/>
    <x v="175"/>
    <x v="74"/>
    <x v="0"/>
  </r>
  <r>
    <x v="3"/>
    <x v="1"/>
    <x v="26"/>
    <x v="61"/>
    <x v="79"/>
    <x v="49"/>
    <x v="5"/>
    <x v="1"/>
    <x v="158"/>
    <x v="0"/>
    <x v="166"/>
    <x v="0"/>
    <x v="95"/>
    <x v="1"/>
    <x v="0"/>
    <x v="0"/>
    <x v="0"/>
    <x v="0"/>
    <x v="26"/>
    <x v="61"/>
    <x v="79"/>
    <x v="1"/>
    <x v="109"/>
    <x v="1"/>
    <x v="130"/>
    <x v="143"/>
    <x v="170"/>
    <x v="0"/>
    <x v="82"/>
    <x v="82"/>
    <x v="106"/>
    <x v="0"/>
    <x v="0"/>
    <x v="0"/>
    <x v="0"/>
    <x v="0"/>
  </r>
  <r>
    <x v="3"/>
    <x v="0"/>
    <x v="29"/>
    <x v="29"/>
    <x v="34"/>
    <x v="30"/>
    <x v="8"/>
    <x v="1"/>
    <x v="144"/>
    <x v="1"/>
    <x v="88"/>
    <x v="1"/>
    <x v="44"/>
    <x v="1"/>
    <x v="0"/>
    <x v="1"/>
    <x v="0"/>
    <x v="0"/>
    <x v="29"/>
    <x v="29"/>
    <x v="34"/>
    <x v="0"/>
    <x v="9"/>
    <x v="73"/>
    <x v="62"/>
    <x v="69"/>
    <x v="57"/>
    <x v="1"/>
    <x v="36"/>
    <x v="35"/>
    <x v="78"/>
    <x v="0"/>
    <x v="1"/>
    <x v="74"/>
    <x v="29"/>
    <x v="1"/>
  </r>
  <r>
    <x v="3"/>
    <x v="1"/>
    <x v="30"/>
    <x v="17"/>
    <x v="9"/>
    <x v="22"/>
    <x v="18"/>
    <x v="1"/>
    <x v="158"/>
    <x v="0"/>
    <x v="83"/>
    <x v="1"/>
    <x v="60"/>
    <x v="1"/>
    <x v="0"/>
    <x v="0"/>
    <x v="0"/>
    <x v="0"/>
    <x v="30"/>
    <x v="17"/>
    <x v="9"/>
    <x v="0"/>
    <x v="19"/>
    <x v="149"/>
    <x v="39"/>
    <x v="49"/>
    <x v="23"/>
    <x v="12"/>
    <x v="9"/>
    <x v="10"/>
    <x v="28"/>
    <x v="0"/>
    <x v="4"/>
    <x v="162"/>
    <x v="25"/>
    <x v="1"/>
  </r>
  <r>
    <x v="3"/>
    <x v="0"/>
    <x v="31"/>
    <x v="43"/>
    <x v="54"/>
    <x v="28"/>
    <x v="57"/>
    <x v="0"/>
    <x v="158"/>
    <x v="0"/>
    <x v="166"/>
    <x v="0"/>
    <x v="161"/>
    <x v="0"/>
    <x v="0"/>
    <x v="0"/>
    <x v="0"/>
    <x v="0"/>
    <x v="31"/>
    <x v="43"/>
    <x v="54"/>
    <x v="1"/>
    <x v="62"/>
    <x v="180"/>
    <x v="139"/>
    <x v="289"/>
    <x v="278"/>
    <x v="93"/>
    <x v="57"/>
    <x v="57"/>
    <x v="2"/>
    <x v="0"/>
    <x v="45"/>
    <x v="172"/>
    <x v="85"/>
    <x v="0"/>
  </r>
  <r>
    <x v="3"/>
    <x v="2"/>
    <x v="35"/>
    <x v="21"/>
    <x v="12"/>
    <x v="19"/>
    <x v="33"/>
    <x v="1"/>
    <x v="158"/>
    <x v="0"/>
    <x v="152"/>
    <x v="1"/>
    <x v="161"/>
    <x v="0"/>
    <x v="0"/>
    <x v="0"/>
    <x v="0"/>
    <x v="0"/>
    <x v="35"/>
    <x v="21"/>
    <x v="12"/>
    <x v="1"/>
    <x v="30"/>
    <x v="182"/>
    <x v="127"/>
    <x v="322"/>
    <x v="179"/>
    <x v="110"/>
    <x v="14"/>
    <x v="12"/>
    <x v="56"/>
    <x v="0"/>
    <x v="30"/>
    <x v="186"/>
    <x v="38"/>
    <x v="0"/>
  </r>
  <r>
    <x v="3"/>
    <x v="1"/>
    <x v="37"/>
    <x v="39"/>
    <x v="45"/>
    <x v="16"/>
    <x v="46"/>
    <x v="1"/>
    <x v="158"/>
    <x v="0"/>
    <x v="166"/>
    <x v="0"/>
    <x v="161"/>
    <x v="0"/>
    <x v="0"/>
    <x v="3"/>
    <x v="0"/>
    <x v="0"/>
    <x v="37"/>
    <x v="39"/>
    <x v="45"/>
    <x v="1"/>
    <x v="72"/>
    <x v="177"/>
    <x v="127"/>
    <x v="308"/>
    <x v="157"/>
    <x v="101"/>
    <x v="49"/>
    <x v="49"/>
    <x v="14"/>
    <x v="0"/>
    <x v="48"/>
    <x v="176"/>
    <x v="80"/>
    <x v="0"/>
  </r>
  <r>
    <x v="3"/>
    <x v="0"/>
    <x v="38"/>
    <x v="41"/>
    <x v="47"/>
    <x v="17"/>
    <x v="45"/>
    <x v="1"/>
    <x v="158"/>
    <x v="0"/>
    <x v="166"/>
    <x v="0"/>
    <x v="161"/>
    <x v="0"/>
    <x v="0"/>
    <x v="0"/>
    <x v="0"/>
    <x v="0"/>
    <x v="38"/>
    <x v="41"/>
    <x v="47"/>
    <x v="1"/>
    <x v="109"/>
    <x v="174"/>
    <x v="139"/>
    <x v="297"/>
    <x v="237"/>
    <x v="94"/>
    <x v="51"/>
    <x v="51"/>
    <x v="8"/>
    <x v="0"/>
    <x v="53"/>
    <x v="173"/>
    <x v="116"/>
    <x v="0"/>
  </r>
  <r>
    <x v="3"/>
    <x v="2"/>
    <x v="39"/>
    <x v="39"/>
    <x v="43"/>
    <x v="27"/>
    <x v="57"/>
    <x v="0"/>
    <x v="158"/>
    <x v="0"/>
    <x v="166"/>
    <x v="0"/>
    <x v="161"/>
    <x v="0"/>
    <x v="0"/>
    <x v="0"/>
    <x v="0"/>
    <x v="0"/>
    <x v="39"/>
    <x v="39"/>
    <x v="43"/>
    <x v="1"/>
    <x v="52"/>
    <x v="181"/>
    <x v="142"/>
    <x v="273"/>
    <x v="257"/>
    <x v="91"/>
    <x v="45"/>
    <x v="45"/>
    <x v="0"/>
    <x v="0"/>
    <x v="44"/>
    <x v="176"/>
    <x v="72"/>
    <x v="0"/>
  </r>
  <r>
    <x v="3"/>
    <x v="0"/>
    <x v="40"/>
    <x v="23"/>
    <x v="25"/>
    <x v="21"/>
    <x v="8"/>
    <x v="1"/>
    <x v="63"/>
    <x v="1"/>
    <x v="49"/>
    <x v="1"/>
    <x v="6"/>
    <x v="1"/>
    <x v="0"/>
    <x v="1"/>
    <x v="0"/>
    <x v="0"/>
    <x v="40"/>
    <x v="23"/>
    <x v="25"/>
    <x v="0"/>
    <x v="9"/>
    <x v="73"/>
    <x v="13"/>
    <x v="12"/>
    <x v="37"/>
    <x v="0"/>
    <x v="28"/>
    <x v="26"/>
    <x v="34"/>
    <x v="0"/>
    <x v="0"/>
    <x v="0"/>
    <x v="0"/>
    <x v="1"/>
  </r>
  <r>
    <x v="3"/>
    <x v="2"/>
    <x v="42"/>
    <x v="15"/>
    <x v="27"/>
    <x v="15"/>
    <x v="34"/>
    <x v="1"/>
    <x v="5"/>
    <x v="1"/>
    <x v="3"/>
    <x v="1"/>
    <x v="1"/>
    <x v="1"/>
    <x v="0"/>
    <x v="19"/>
    <x v="0"/>
    <x v="0"/>
    <x v="42"/>
    <x v="15"/>
    <x v="27"/>
    <x v="0"/>
    <x v="32"/>
    <x v="184"/>
    <x v="103"/>
    <x v="125"/>
    <x v="80"/>
    <x v="74"/>
    <x v="29"/>
    <x v="28"/>
    <x v="14"/>
    <x v="5"/>
    <x v="24"/>
    <x v="174"/>
    <x v="116"/>
    <x v="1"/>
  </r>
  <r>
    <x v="3"/>
    <x v="1"/>
    <x v="43"/>
    <x v="60"/>
    <x v="84"/>
    <x v="34"/>
    <x v="57"/>
    <x v="0"/>
    <x v="158"/>
    <x v="0"/>
    <x v="166"/>
    <x v="0"/>
    <x v="161"/>
    <x v="0"/>
    <x v="0"/>
    <x v="0"/>
    <x v="0"/>
    <x v="0"/>
    <x v="43"/>
    <x v="60"/>
    <x v="84"/>
    <x v="1"/>
    <x v="104"/>
    <x v="147"/>
    <x v="126"/>
    <x v="191"/>
    <x v="131"/>
    <x v="2"/>
    <x v="87"/>
    <x v="87"/>
    <x v="61"/>
    <x v="0"/>
    <x v="1"/>
    <x v="164"/>
    <x v="111"/>
    <x v="0"/>
  </r>
  <r>
    <x v="3"/>
    <x v="0"/>
    <x v="44"/>
    <x v="26"/>
    <x v="21"/>
    <x v="32"/>
    <x v="3"/>
    <x v="1"/>
    <x v="60"/>
    <x v="1"/>
    <x v="45"/>
    <x v="1"/>
    <x v="1"/>
    <x v="1"/>
    <x v="0"/>
    <x v="0"/>
    <x v="0"/>
    <x v="0"/>
    <x v="44"/>
    <x v="26"/>
    <x v="21"/>
    <x v="0"/>
    <x v="4"/>
    <x v="9"/>
    <x v="12"/>
    <x v="11"/>
    <x v="30"/>
    <x v="0"/>
    <x v="25"/>
    <x v="24"/>
    <x v="46"/>
    <x v="0"/>
    <x v="0"/>
    <x v="0"/>
    <x v="0"/>
    <x v="1"/>
  </r>
  <r>
    <x v="3"/>
    <x v="1"/>
    <x v="45"/>
    <x v="5"/>
    <x v="3"/>
    <x v="15"/>
    <x v="10"/>
    <x v="1"/>
    <x v="1"/>
    <x v="1"/>
    <x v="4"/>
    <x v="1"/>
    <x v="1"/>
    <x v="1"/>
    <x v="0"/>
    <x v="7"/>
    <x v="0"/>
    <x v="0"/>
    <x v="45"/>
    <x v="5"/>
    <x v="3"/>
    <x v="0"/>
    <x v="11"/>
    <x v="96"/>
    <x v="1"/>
    <x v="2"/>
    <x v="3"/>
    <x v="0"/>
    <x v="3"/>
    <x v="3"/>
    <x v="2"/>
    <x v="0"/>
    <x v="0"/>
    <x v="0"/>
    <x v="0"/>
    <x v="1"/>
  </r>
  <r>
    <x v="3"/>
    <x v="2"/>
    <x v="46"/>
    <x v="34"/>
    <x v="74"/>
    <x v="30"/>
    <x v="30"/>
    <x v="1"/>
    <x v="66"/>
    <x v="1"/>
    <x v="166"/>
    <x v="0"/>
    <x v="85"/>
    <x v="1"/>
    <x v="0"/>
    <x v="2"/>
    <x v="0"/>
    <x v="0"/>
    <x v="46"/>
    <x v="34"/>
    <x v="74"/>
    <x v="1"/>
    <x v="64"/>
    <x v="167"/>
    <x v="128"/>
    <x v="163"/>
    <x v="177"/>
    <x v="12"/>
    <x v="78"/>
    <x v="77"/>
    <x v="1"/>
    <x v="0"/>
    <x v="8"/>
    <x v="180"/>
    <x v="70"/>
    <x v="0"/>
  </r>
  <r>
    <x v="3"/>
    <x v="2"/>
    <x v="54"/>
    <x v="41"/>
    <x v="89"/>
    <x v="30"/>
    <x v="30"/>
    <x v="1"/>
    <x v="73"/>
    <x v="1"/>
    <x v="166"/>
    <x v="0"/>
    <x v="84"/>
    <x v="1"/>
    <x v="0"/>
    <x v="2"/>
    <x v="0"/>
    <x v="0"/>
    <x v="54"/>
    <x v="41"/>
    <x v="89"/>
    <x v="1"/>
    <x v="38"/>
    <x v="160"/>
    <x v="126"/>
    <x v="227"/>
    <x v="148"/>
    <x v="37"/>
    <x v="92"/>
    <x v="92"/>
    <x v="6"/>
    <x v="0"/>
    <x v="36"/>
    <x v="173"/>
    <x v="83"/>
    <x v="0"/>
  </r>
  <r>
    <x v="3"/>
    <x v="2"/>
    <x v="59"/>
    <x v="41"/>
    <x v="96"/>
    <x v="18"/>
    <x v="36"/>
    <x v="1"/>
    <x v="83"/>
    <x v="1"/>
    <x v="166"/>
    <x v="0"/>
    <x v="75"/>
    <x v="1"/>
    <x v="0"/>
    <x v="15"/>
    <x v="0"/>
    <x v="0"/>
    <x v="59"/>
    <x v="41"/>
    <x v="96"/>
    <x v="1"/>
    <x v="109"/>
    <x v="140"/>
    <x v="129"/>
    <x v="190"/>
    <x v="174"/>
    <x v="6"/>
    <x v="99"/>
    <x v="99"/>
    <x v="11"/>
    <x v="0"/>
    <x v="5"/>
    <x v="163"/>
    <x v="116"/>
    <x v="0"/>
  </r>
  <r>
    <x v="3"/>
    <x v="2"/>
    <x v="60"/>
    <x v="43"/>
    <x v="33"/>
    <x v="31"/>
    <x v="57"/>
    <x v="0"/>
    <x v="158"/>
    <x v="0"/>
    <x v="166"/>
    <x v="0"/>
    <x v="161"/>
    <x v="0"/>
    <x v="0"/>
    <x v="0"/>
    <x v="0"/>
    <x v="0"/>
    <x v="60"/>
    <x v="43"/>
    <x v="33"/>
    <x v="1"/>
    <x v="61"/>
    <x v="169"/>
    <x v="127"/>
    <x v="295"/>
    <x v="275"/>
    <x v="20"/>
    <x v="35"/>
    <x v="34"/>
    <x v="48"/>
    <x v="0"/>
    <x v="10"/>
    <x v="172"/>
    <x v="68"/>
    <x v="0"/>
  </r>
  <r>
    <x v="3"/>
    <x v="2"/>
    <x v="63"/>
    <x v="43"/>
    <x v="60"/>
    <x v="15"/>
    <x v="54"/>
    <x v="1"/>
    <x v="158"/>
    <x v="0"/>
    <x v="118"/>
    <x v="1"/>
    <x v="120"/>
    <x v="1"/>
    <x v="0"/>
    <x v="27"/>
    <x v="0"/>
    <x v="0"/>
    <x v="63"/>
    <x v="43"/>
    <x v="60"/>
    <x v="1"/>
    <x v="109"/>
    <x v="152"/>
    <x v="126"/>
    <x v="255"/>
    <x v="251"/>
    <x v="6"/>
    <x v="63"/>
    <x v="63"/>
    <x v="22"/>
    <x v="0"/>
    <x v="5"/>
    <x v="172"/>
    <x v="116"/>
    <x v="0"/>
  </r>
  <r>
    <x v="3"/>
    <x v="2"/>
    <x v="69"/>
    <x v="43"/>
    <x v="38"/>
    <x v="33"/>
    <x v="23"/>
    <x v="1"/>
    <x v="158"/>
    <x v="0"/>
    <x v="119"/>
    <x v="1"/>
    <x v="161"/>
    <x v="0"/>
    <x v="0"/>
    <x v="0"/>
    <x v="0"/>
    <x v="0"/>
    <x v="69"/>
    <x v="43"/>
    <x v="38"/>
    <x v="1"/>
    <x v="24"/>
    <x v="170"/>
    <x v="144"/>
    <x v="283"/>
    <x v="280"/>
    <x v="90"/>
    <x v="39"/>
    <x v="39"/>
    <x v="73"/>
    <x v="0"/>
    <x v="22"/>
    <x v="167"/>
    <x v="42"/>
    <x v="0"/>
  </r>
  <r>
    <x v="3"/>
    <x v="2"/>
    <x v="70"/>
    <x v="43"/>
    <x v="31"/>
    <x v="37"/>
    <x v="26"/>
    <x v="1"/>
    <x v="158"/>
    <x v="0"/>
    <x v="123"/>
    <x v="1"/>
    <x v="161"/>
    <x v="0"/>
    <x v="0"/>
    <x v="0"/>
    <x v="0"/>
    <x v="0"/>
    <x v="70"/>
    <x v="43"/>
    <x v="31"/>
    <x v="1"/>
    <x v="27"/>
    <x v="171"/>
    <x v="139"/>
    <x v="302"/>
    <x v="266"/>
    <x v="85"/>
    <x v="33"/>
    <x v="32"/>
    <x v="87"/>
    <x v="0"/>
    <x v="18"/>
    <x v="166"/>
    <x v="43"/>
    <x v="0"/>
  </r>
  <r>
    <x v="3"/>
    <x v="2"/>
    <x v="71"/>
    <x v="26"/>
    <x v="64"/>
    <x v="25"/>
    <x v="29"/>
    <x v="1"/>
    <x v="52"/>
    <x v="1"/>
    <x v="159"/>
    <x v="1"/>
    <x v="52"/>
    <x v="1"/>
    <x v="0"/>
    <x v="8"/>
    <x v="0"/>
    <x v="0"/>
    <x v="71"/>
    <x v="26"/>
    <x v="64"/>
    <x v="1"/>
    <x v="37"/>
    <x v="165"/>
    <x v="126"/>
    <x v="160"/>
    <x v="176"/>
    <x v="30"/>
    <x v="67"/>
    <x v="67"/>
    <x v="13"/>
    <x v="0"/>
    <x v="27"/>
    <x v="184"/>
    <x v="50"/>
    <x v="0"/>
  </r>
  <r>
    <x v="3"/>
    <x v="1"/>
    <x v="77"/>
    <x v="24"/>
    <x v="21"/>
    <x v="29"/>
    <x v="4"/>
    <x v="1"/>
    <x v="68"/>
    <x v="1"/>
    <x v="46"/>
    <x v="1"/>
    <x v="2"/>
    <x v="1"/>
    <x v="0"/>
    <x v="0"/>
    <x v="0"/>
    <x v="0"/>
    <x v="77"/>
    <x v="24"/>
    <x v="21"/>
    <x v="0"/>
    <x v="5"/>
    <x v="31"/>
    <x v="50"/>
    <x v="56"/>
    <x v="55"/>
    <x v="6"/>
    <x v="24"/>
    <x v="23"/>
    <x v="43"/>
    <x v="0"/>
    <x v="6"/>
    <x v="63"/>
    <x v="4"/>
    <x v="1"/>
  </r>
  <r>
    <x v="3"/>
    <x v="0"/>
    <x v="81"/>
    <x v="44"/>
    <x v="32"/>
    <x v="36"/>
    <x v="10"/>
    <x v="1"/>
    <x v="158"/>
    <x v="0"/>
    <x v="113"/>
    <x v="1"/>
    <x v="91"/>
    <x v="1"/>
    <x v="0"/>
    <x v="0"/>
    <x v="0"/>
    <x v="0"/>
    <x v="81"/>
    <x v="44"/>
    <x v="32"/>
    <x v="0"/>
    <x v="11"/>
    <x v="96"/>
    <x v="89"/>
    <x v="99"/>
    <x v="79"/>
    <x v="34"/>
    <x v="34"/>
    <x v="33"/>
    <x v="64"/>
    <x v="0"/>
    <x v="12"/>
    <x v="79"/>
    <x v="46"/>
    <x v="1"/>
  </r>
  <r>
    <x v="3"/>
    <x v="0"/>
    <x v="84"/>
    <x v="34"/>
    <x v="11"/>
    <x v="27"/>
    <x v="19"/>
    <x v="1"/>
    <x v="158"/>
    <x v="0"/>
    <x v="96"/>
    <x v="1"/>
    <x v="118"/>
    <x v="1"/>
    <x v="0"/>
    <x v="0"/>
    <x v="0"/>
    <x v="0"/>
    <x v="84"/>
    <x v="34"/>
    <x v="11"/>
    <x v="0"/>
    <x v="20"/>
    <x v="158"/>
    <x v="54"/>
    <x v="71"/>
    <x v="31"/>
    <x v="3"/>
    <x v="16"/>
    <x v="12"/>
    <x v="76"/>
    <x v="0"/>
    <x v="2"/>
    <x v="167"/>
    <x v="21"/>
    <x v="1"/>
  </r>
  <r>
    <x v="3"/>
    <x v="0"/>
    <x v="85"/>
    <x v="34"/>
    <x v="11"/>
    <x v="27"/>
    <x v="19"/>
    <x v="1"/>
    <x v="158"/>
    <x v="0"/>
    <x v="112"/>
    <x v="1"/>
    <x v="108"/>
    <x v="1"/>
    <x v="0"/>
    <x v="0"/>
    <x v="0"/>
    <x v="0"/>
    <x v="85"/>
    <x v="34"/>
    <x v="11"/>
    <x v="0"/>
    <x v="20"/>
    <x v="158"/>
    <x v="65"/>
    <x v="78"/>
    <x v="32"/>
    <x v="11"/>
    <x v="16"/>
    <x v="12"/>
    <x v="69"/>
    <x v="0"/>
    <x v="4"/>
    <x v="165"/>
    <x v="17"/>
    <x v="1"/>
  </r>
  <r>
    <x v="3"/>
    <x v="0"/>
    <x v="86"/>
    <x v="30"/>
    <x v="7"/>
    <x v="23"/>
    <x v="19"/>
    <x v="1"/>
    <x v="158"/>
    <x v="0"/>
    <x v="114"/>
    <x v="1"/>
    <x v="96"/>
    <x v="1"/>
    <x v="0"/>
    <x v="0"/>
    <x v="0"/>
    <x v="0"/>
    <x v="86"/>
    <x v="30"/>
    <x v="7"/>
    <x v="0"/>
    <x v="20"/>
    <x v="158"/>
    <x v="53"/>
    <x v="73"/>
    <x v="25"/>
    <x v="7"/>
    <x v="8"/>
    <x v="7"/>
    <x v="74"/>
    <x v="0"/>
    <x v="7"/>
    <x v="168"/>
    <x v="27"/>
    <x v="1"/>
  </r>
  <r>
    <x v="3"/>
    <x v="0"/>
    <x v="87"/>
    <x v="30"/>
    <x v="7"/>
    <x v="23"/>
    <x v="18"/>
    <x v="1"/>
    <x v="158"/>
    <x v="0"/>
    <x v="99"/>
    <x v="1"/>
    <x v="42"/>
    <x v="1"/>
    <x v="0"/>
    <x v="0"/>
    <x v="0"/>
    <x v="0"/>
    <x v="87"/>
    <x v="30"/>
    <x v="7"/>
    <x v="0"/>
    <x v="19"/>
    <x v="149"/>
    <x v="43"/>
    <x v="57"/>
    <x v="29"/>
    <x v="2"/>
    <x v="8"/>
    <x v="7"/>
    <x v="83"/>
    <x v="0"/>
    <x v="2"/>
    <x v="167"/>
    <x v="30"/>
    <x v="1"/>
  </r>
  <r>
    <x v="3"/>
    <x v="0"/>
    <x v="88"/>
    <x v="57"/>
    <x v="99"/>
    <x v="47"/>
    <x v="17"/>
    <x v="1"/>
    <x v="134"/>
    <x v="1"/>
    <x v="166"/>
    <x v="0"/>
    <x v="11"/>
    <x v="1"/>
    <x v="0"/>
    <x v="3"/>
    <x v="0"/>
    <x v="0"/>
    <x v="88"/>
    <x v="57"/>
    <x v="99"/>
    <x v="1"/>
    <x v="41"/>
    <x v="5"/>
    <x v="126"/>
    <x v="213"/>
    <x v="127"/>
    <x v="2"/>
    <x v="103"/>
    <x v="103"/>
    <x v="88"/>
    <x v="0"/>
    <x v="1"/>
    <x v="4"/>
    <x v="44"/>
    <x v="0"/>
  </r>
  <r>
    <x v="3"/>
    <x v="0"/>
    <x v="89"/>
    <x v="54"/>
    <x v="101"/>
    <x v="45"/>
    <x v="18"/>
    <x v="1"/>
    <x v="141"/>
    <x v="1"/>
    <x v="166"/>
    <x v="0"/>
    <x v="19"/>
    <x v="1"/>
    <x v="0"/>
    <x v="3"/>
    <x v="0"/>
    <x v="0"/>
    <x v="89"/>
    <x v="54"/>
    <x v="101"/>
    <x v="1"/>
    <x v="41"/>
    <x v="64"/>
    <x v="126"/>
    <x v="204"/>
    <x v="128"/>
    <x v="2"/>
    <x v="104"/>
    <x v="104"/>
    <x v="96"/>
    <x v="0"/>
    <x v="1"/>
    <x v="71"/>
    <x v="44"/>
    <x v="0"/>
  </r>
  <r>
    <x v="3"/>
    <x v="0"/>
    <x v="90"/>
    <x v="55"/>
    <x v="102"/>
    <x v="45"/>
    <x v="18"/>
    <x v="1"/>
    <x v="119"/>
    <x v="1"/>
    <x v="166"/>
    <x v="0"/>
    <x v="20"/>
    <x v="1"/>
    <x v="0"/>
    <x v="3"/>
    <x v="0"/>
    <x v="0"/>
    <x v="90"/>
    <x v="55"/>
    <x v="102"/>
    <x v="1"/>
    <x v="42"/>
    <x v="64"/>
    <x v="126"/>
    <x v="210"/>
    <x v="125"/>
    <x v="2"/>
    <x v="105"/>
    <x v="105"/>
    <x v="93"/>
    <x v="0"/>
    <x v="1"/>
    <x v="71"/>
    <x v="45"/>
    <x v="0"/>
  </r>
  <r>
    <x v="3"/>
    <x v="0"/>
    <x v="91"/>
    <x v="56"/>
    <x v="103"/>
    <x v="46"/>
    <x v="18"/>
    <x v="1"/>
    <x v="138"/>
    <x v="1"/>
    <x v="166"/>
    <x v="0"/>
    <x v="25"/>
    <x v="1"/>
    <x v="0"/>
    <x v="3"/>
    <x v="0"/>
    <x v="0"/>
    <x v="91"/>
    <x v="56"/>
    <x v="103"/>
    <x v="1"/>
    <x v="46"/>
    <x v="63"/>
    <x v="135"/>
    <x v="224"/>
    <x v="135"/>
    <x v="2"/>
    <x v="106"/>
    <x v="106"/>
    <x v="98"/>
    <x v="0"/>
    <x v="1"/>
    <x v="70"/>
    <x v="51"/>
    <x v="0"/>
  </r>
  <r>
    <x v="3"/>
    <x v="0"/>
    <x v="94"/>
    <x v="9"/>
    <x v="20"/>
    <x v="18"/>
    <x v="22"/>
    <x v="1"/>
    <x v="142"/>
    <x v="1"/>
    <x v="66"/>
    <x v="1"/>
    <x v="17"/>
    <x v="1"/>
    <x v="0"/>
    <x v="8"/>
    <x v="0"/>
    <x v="0"/>
    <x v="94"/>
    <x v="9"/>
    <x v="20"/>
    <x v="0"/>
    <x v="23"/>
    <x v="173"/>
    <x v="58"/>
    <x v="68"/>
    <x v="49"/>
    <x v="23"/>
    <x v="20"/>
    <x v="21"/>
    <x v="10"/>
    <x v="0"/>
    <x v="12"/>
    <x v="190"/>
    <x v="22"/>
    <x v="1"/>
  </r>
  <r>
    <x v="3"/>
    <x v="0"/>
    <x v="95"/>
    <x v="32"/>
    <x v="55"/>
    <x v="38"/>
    <x v="23"/>
    <x v="1"/>
    <x v="158"/>
    <x v="0"/>
    <x v="166"/>
    <x v="0"/>
    <x v="112"/>
    <x v="1"/>
    <x v="0"/>
    <x v="0"/>
    <x v="0"/>
    <x v="0"/>
    <x v="95"/>
    <x v="32"/>
    <x v="55"/>
    <x v="0"/>
    <x v="24"/>
    <x v="176"/>
    <x v="118"/>
    <x v="189"/>
    <x v="120"/>
    <x v="34"/>
    <x v="58"/>
    <x v="58"/>
    <x v="2"/>
    <x v="0"/>
    <x v="21"/>
    <x v="181"/>
    <x v="56"/>
    <x v="1"/>
  </r>
  <r>
    <x v="3"/>
    <x v="0"/>
    <x v="96"/>
    <x v="58"/>
    <x v="80"/>
    <x v="48"/>
    <x v="24"/>
    <x v="1"/>
    <x v="158"/>
    <x v="0"/>
    <x v="166"/>
    <x v="0"/>
    <x v="147"/>
    <x v="1"/>
    <x v="0"/>
    <x v="0"/>
    <x v="0"/>
    <x v="0"/>
    <x v="96"/>
    <x v="58"/>
    <x v="80"/>
    <x v="1"/>
    <x v="88"/>
    <x v="159"/>
    <x v="131"/>
    <x v="169"/>
    <x v="225"/>
    <x v="3"/>
    <x v="83"/>
    <x v="83"/>
    <x v="10"/>
    <x v="0"/>
    <x v="2"/>
    <x v="169"/>
    <x v="94"/>
    <x v="0"/>
  </r>
  <r>
    <x v="3"/>
    <x v="1"/>
    <x v="97"/>
    <x v="36"/>
    <x v="37"/>
    <x v="35"/>
    <x v="24"/>
    <x v="1"/>
    <x v="158"/>
    <x v="0"/>
    <x v="117"/>
    <x v="1"/>
    <x v="157"/>
    <x v="1"/>
    <x v="0"/>
    <x v="0"/>
    <x v="0"/>
    <x v="0"/>
    <x v="97"/>
    <x v="36"/>
    <x v="37"/>
    <x v="0"/>
    <x v="25"/>
    <x v="178"/>
    <x v="121"/>
    <x v="220"/>
    <x v="171"/>
    <x v="22"/>
    <x v="38"/>
    <x v="38"/>
    <x v="17"/>
    <x v="0"/>
    <x v="6"/>
    <x v="178"/>
    <x v="38"/>
    <x v="1"/>
  </r>
  <r>
    <x v="3"/>
    <x v="0"/>
    <x v="110"/>
    <x v="43"/>
    <x v="16"/>
    <x v="39"/>
    <x v="4"/>
    <x v="1"/>
    <x v="158"/>
    <x v="0"/>
    <x v="111"/>
    <x v="1"/>
    <x v="14"/>
    <x v="1"/>
    <x v="0"/>
    <x v="0"/>
    <x v="0"/>
    <x v="0"/>
    <x v="110"/>
    <x v="43"/>
    <x v="16"/>
    <x v="0"/>
    <x v="5"/>
    <x v="31"/>
    <x v="46"/>
    <x v="61"/>
    <x v="39"/>
    <x v="9"/>
    <x v="19"/>
    <x v="18"/>
    <x v="47"/>
    <x v="0"/>
    <x v="4"/>
    <x v="64"/>
    <x v="5"/>
    <x v="1"/>
  </r>
  <r>
    <x v="3"/>
    <x v="2"/>
    <x v="113"/>
    <x v="47"/>
    <x v="49"/>
    <x v="33"/>
    <x v="57"/>
    <x v="0"/>
    <x v="158"/>
    <x v="0"/>
    <x v="166"/>
    <x v="0"/>
    <x v="161"/>
    <x v="0"/>
    <x v="0"/>
    <x v="0"/>
    <x v="0"/>
    <x v="0"/>
    <x v="113"/>
    <x v="47"/>
    <x v="49"/>
    <x v="1"/>
    <x v="70"/>
    <x v="168"/>
    <x v="128"/>
    <x v="274"/>
    <x v="260"/>
    <x v="73"/>
    <x v="53"/>
    <x v="52"/>
    <x v="17"/>
    <x v="0"/>
    <x v="51"/>
    <x v="167"/>
    <x v="84"/>
    <x v="0"/>
  </r>
  <r>
    <x v="3"/>
    <x v="2"/>
    <x v="116"/>
    <x v="46"/>
    <x v="42"/>
    <x v="33"/>
    <x v="28"/>
    <x v="1"/>
    <x v="158"/>
    <x v="0"/>
    <x v="143"/>
    <x v="1"/>
    <x v="161"/>
    <x v="0"/>
    <x v="0"/>
    <x v="0"/>
    <x v="0"/>
    <x v="0"/>
    <x v="116"/>
    <x v="46"/>
    <x v="42"/>
    <x v="1"/>
    <x v="59"/>
    <x v="157"/>
    <x v="126"/>
    <x v="257"/>
    <x v="245"/>
    <x v="43"/>
    <x v="44"/>
    <x v="44"/>
    <x v="45"/>
    <x v="0"/>
    <x v="27"/>
    <x v="167"/>
    <x v="66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I17" firstHeaderRow="1" firstDataRow="2" firstDataCol="2" rowPageCount="1" colPageCount="1"/>
  <pivotFields count="36">
    <pivotField axis="axisRow" compact="0" showAll="0" defaultSubtotal="0" outline="0">
      <items count="4">
        <item x="0"/>
        <item x="1"/>
        <item x="2"/>
        <item x="3"/>
      </items>
    </pivotField>
    <pivotField axis="axisRow" compact="0" showAll="0" defaultSubtotal="0" outline="0">
      <items count="3">
        <item x="0"/>
        <item x="1"/>
        <item x="2"/>
      </items>
    </pivotField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axis="axisPage" compact="0" showAll="0" defaultSubtotal="0">
      <items count="2">
        <item h="1" x="0"/>
        <item x="1"/>
      </items>
    </pivotField>
  </pivotFields>
  <rowFields count="2">
    <field x="0"/>
    <field x="1"/>
  </rowFields>
  <colFields count="1">
    <field x="-2"/>
  </colFields>
  <pageFields count="1">
    <pageField fld="35" hier="-1"/>
  </pageFields>
  <dataFields count="7">
    <dataField name="Count - inst_name" fld="2" subtotal="count" numFmtId="164"/>
    <dataField name="Min - n_branching_nodes" fld="27" subtotal="min" numFmtId="164"/>
    <dataField name="Min - n_branching_nodes" fld="27" subtotal="min" numFmtId="164"/>
    <dataField name="Min - n_branching_nodes" fld="27" subtotal="min" numFmtId="164"/>
    <dataField name="Min - depth" fld="32" subtotal="min" numFmtId="164"/>
    <dataField name="Min - depth" fld="32" subtotal="min" numFmtId="164"/>
    <dataField name="Min - depth" fld="32" subtotal="min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I17" firstHeaderRow="1" firstDataRow="2" firstDataCol="2" rowPageCount="1" colPageCount="1"/>
  <pivotFields count="36">
    <pivotField axis="axisRow" compact="0" showAll="0" defaultSubtotal="0" outline="0">
      <items count="4">
        <item x="0"/>
        <item x="1"/>
        <item x="2"/>
        <item x="3"/>
      </items>
    </pivotField>
    <pivotField axis="axisRow" compact="0" showAll="0" defaultSubtotal="0" outline="0">
      <items count="3">
        <item x="0"/>
        <item x="1"/>
        <item x="2"/>
      </items>
    </pivotField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 defaultSubtotal="0">
      <items count="2">
        <item h="1" x="0"/>
        <item x="1"/>
      </items>
    </pivotField>
  </pivotFields>
  <rowFields count="2">
    <field x="0"/>
    <field x="1"/>
  </rowFields>
  <colFields count="1">
    <field x="-2"/>
  </colFields>
  <pageFields count="1">
    <pageField fld="35" hier="-1"/>
  </pageFields>
  <dataFields count="7">
    <dataField name="Count - inst_name" fld="2" subtotal="count" numFmtId="164"/>
    <dataField name="Min - time" fld="24" subtotal="min" numFmtId="164"/>
    <dataField name="Min - time" fld="24" subtotal="min" numFmtId="164"/>
    <dataField name="Min - time" fld="24" subtotal="min" numFmtId="164"/>
    <dataField name="Min - time_pricing" fld="25" subtotal="min" numFmtId="164"/>
    <dataField name="Min - time_pricing" fld="25" subtotal="min" numFmtId="164"/>
    <dataField name="Min - time_pricing" fld="25" subtotal="min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I17" firstHeaderRow="1" firstDataRow="2" firstDataCol="2" rowPageCount="1" colPageCount="1"/>
  <pivotFields count="36">
    <pivotField axis="axisRow" compact="0" showAll="0" defaultSubtotal="0" outline="0">
      <items count="4">
        <item x="0"/>
        <item x="1"/>
        <item x="2"/>
        <item x="3"/>
      </items>
    </pivotField>
    <pivotField axis="axisRow" compact="0" showAll="0" defaultSubtotal="0" outline="0">
      <items count="3">
        <item x="0"/>
        <item x="1"/>
        <item x="2"/>
      </items>
    </pivotField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axis="axisPage" compact="0" showAll="0" defaultSubtotal="0">
      <items count="2">
        <item h="1" x="0"/>
        <item x="1"/>
      </items>
    </pivotField>
  </pivotFields>
  <rowFields count="2">
    <field x="0"/>
    <field x="1"/>
  </rowFields>
  <colFields count="1">
    <field x="-2"/>
  </colFields>
  <pageFields count="1">
    <pageField fld="35" hier="-1"/>
  </pageFields>
  <dataFields count="7">
    <dataField name="Count - inst_name" fld="2" subtotal="count" numFmtId="164"/>
    <dataField name="Min - n_alpha" fld="26" subtotal="min" numFmtId="164"/>
    <dataField name="Min - n_alpha" fld="26" subtotal="min" numFmtId="164"/>
    <dataField name="Min - n_alpha" fld="26" subtotal="min" numFmtId="164"/>
    <dataField name="Min - root_node_gen" fld="30" subtotal="min" numFmtId="164"/>
    <dataField name="Min - root_node_gen" fld="30" subtotal="min" numFmtId="164"/>
    <dataField name="Min - root_node_gen" fld="30" subtotal="min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327"/>
  <sheetViews>
    <sheetView showFormulas="false" showGridLines="true" showRowColHeaders="true" showZeros="true" rightToLeft="false" tabSelected="true" showOutlineSymbols="true" defaultGridColor="true" view="normal" topLeftCell="AL1" colorId="64" zoomScale="110" zoomScaleNormal="110" zoomScalePageLayoutView="100" workbookViewId="0">
      <pane xSplit="0" ySplit="4" topLeftCell="A5" activePane="bottomLeft" state="frozen"/>
      <selection pane="topLeft" activeCell="AL1" activeCellId="0" sqref="AL1"/>
      <selection pane="bottomLeft" activeCell="BA25" activeCellId="0" sqref="BA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2" width="11.12"/>
    <col collapsed="false" customWidth="true" hidden="false" outlineLevel="0" max="3" min="3" style="2" width="14.16"/>
    <col collapsed="false" customWidth="true" hidden="false" outlineLevel="0" max="4" min="4" style="3" width="5.44"/>
    <col collapsed="false" customWidth="true" hidden="false" outlineLevel="0" max="5" min="5" style="3" width="5.95"/>
    <col collapsed="false" customWidth="true" hidden="false" outlineLevel="0" max="6" min="6" style="3" width="9.11"/>
    <col collapsed="false" customWidth="true" hidden="false" outlineLevel="0" max="7" min="7" style="3" width="10.75"/>
    <col collapsed="false" customWidth="true" hidden="false" outlineLevel="0" max="8" min="8" style="3" width="8.35"/>
    <col collapsed="false" customWidth="true" hidden="false" outlineLevel="0" max="9" min="9" style="3" width="9.99"/>
    <col collapsed="false" customWidth="true" hidden="false" outlineLevel="0" max="10" min="10" style="3" width="14.3"/>
    <col collapsed="false" customWidth="true" hidden="false" outlineLevel="0" max="11" min="11" style="3" width="8.1"/>
    <col collapsed="false" customWidth="true" hidden="false" outlineLevel="0" max="12" min="12" style="3" width="11.64"/>
    <col collapsed="false" customWidth="true" hidden="false" outlineLevel="0" max="13" min="13" style="3" width="8.35"/>
    <col collapsed="false" customWidth="true" hidden="false" outlineLevel="0" max="14" min="14" style="3" width="12.65"/>
    <col collapsed="false" customWidth="false" hidden="false" outlineLevel="0" max="15" min="15" style="3" width="11.53"/>
    <col collapsed="false" customWidth="true" hidden="false" outlineLevel="0" max="16" min="16" style="3" width="12.15"/>
    <col collapsed="false" customWidth="false" hidden="false" outlineLevel="0" max="17" min="17" style="3" width="11.53"/>
    <col collapsed="false" customWidth="true" hidden="false" outlineLevel="0" max="18" min="18" style="2" width="11.39"/>
    <col collapsed="false" customWidth="true" hidden="false" outlineLevel="0" max="19" min="19" style="2" width="14.16"/>
    <col collapsed="false" customWidth="true" hidden="false" outlineLevel="0" max="20" min="20" style="2" width="10.87"/>
    <col collapsed="false" customWidth="true" hidden="false" outlineLevel="0" max="21" min="21" style="2" width="10.75"/>
    <col collapsed="false" customWidth="true" hidden="false" outlineLevel="0" max="22" min="22" style="2" width="9.74"/>
    <col collapsed="false" customWidth="true" hidden="false" outlineLevel="0" max="23" min="23" style="2" width="11.39"/>
    <col collapsed="false" customWidth="true" hidden="false" outlineLevel="0" max="24" min="24" style="2" width="10.75"/>
    <col collapsed="false" customWidth="true" hidden="false" outlineLevel="0" max="25" min="25" style="2" width="9.11"/>
    <col collapsed="false" customWidth="true" hidden="false" outlineLevel="0" max="26" min="26" style="2" width="15.31"/>
    <col collapsed="false" customWidth="true" hidden="false" outlineLevel="0" max="27" min="27" style="2" width="11.26"/>
    <col collapsed="false" customWidth="true" hidden="false" outlineLevel="0" max="28" min="28" style="2" width="21.88"/>
    <col collapsed="false" customWidth="true" hidden="false" outlineLevel="0" max="29" min="29" style="2" width="14.8"/>
    <col collapsed="false" customWidth="true" hidden="false" outlineLevel="0" max="31" min="30" style="2" width="17.71"/>
    <col collapsed="false" customWidth="true" hidden="false" outlineLevel="0" max="32" min="32" style="2" width="14.04"/>
    <col collapsed="false" customWidth="true" hidden="false" outlineLevel="0" max="33" min="33" style="2" width="9.36"/>
    <col collapsed="false" customWidth="true" hidden="false" outlineLevel="0" max="34" min="34" style="2" width="10.62"/>
    <col collapsed="false" customWidth="true" hidden="false" outlineLevel="0" max="35" min="35" style="2" width="11.26"/>
    <col collapsed="false" customWidth="true" hidden="false" outlineLevel="0" max="36" min="36" style="2" width="16.19"/>
    <col collapsed="false" customWidth="true" hidden="false" outlineLevel="0" max="37" min="37" style="3" width="9.23"/>
    <col collapsed="false" customWidth="true" hidden="false" outlineLevel="0" max="38" min="38" style="4" width="14.67"/>
    <col collapsed="false" customWidth="false" hidden="false" outlineLevel="0" max="40" min="40" style="5" width="11.53"/>
    <col collapsed="false" customWidth="true" hidden="false" outlineLevel="0" max="41" min="41" style="0" width="14.16"/>
    <col collapsed="false" customWidth="true" hidden="false" outlineLevel="0" max="53" min="53" style="0" width="12.52"/>
    <col collapsed="false" customWidth="true" hidden="false" outlineLevel="0" max="54" min="54" style="6" width="15.81"/>
  </cols>
  <sheetData>
    <row r="1" customFormat="false" ht="12.8" hidden="false" customHeight="false" outlineLevel="0" collapsed="false">
      <c r="B1" s="7"/>
      <c r="C1" s="7"/>
      <c r="D1" s="8"/>
      <c r="E1" s="8"/>
      <c r="F1" s="8"/>
      <c r="G1" s="9"/>
      <c r="H1" s="10" t="s">
        <v>0</v>
      </c>
      <c r="I1" s="10"/>
      <c r="J1" s="10"/>
      <c r="K1" s="10"/>
      <c r="L1" s="10"/>
      <c r="M1" s="10"/>
      <c r="N1" s="10"/>
      <c r="O1" s="8"/>
      <c r="P1" s="8"/>
      <c r="Q1" s="8"/>
      <c r="S1" s="11"/>
      <c r="AJ1" s="9" t="s">
        <v>0</v>
      </c>
      <c r="BB1" s="6" t="s">
        <v>0</v>
      </c>
    </row>
    <row r="2" customFormat="false" ht="12.8" hidden="false" customHeight="false" outlineLevel="0" collapsed="false">
      <c r="B2" s="7"/>
      <c r="C2" s="7"/>
      <c r="D2" s="8"/>
      <c r="E2" s="8"/>
      <c r="F2" s="8"/>
      <c r="G2" s="9"/>
      <c r="H2" s="9" t="n">
        <f aca="false">SUM(H5:H327)</f>
        <v>265</v>
      </c>
      <c r="I2" s="9"/>
      <c r="J2" s="9" t="n">
        <f aca="false">SUM(J5:J327)</f>
        <v>187</v>
      </c>
      <c r="L2" s="9" t="n">
        <f aca="false">SUM(L5:L327)</f>
        <v>187</v>
      </c>
      <c r="N2" s="9" t="n">
        <f aca="false">SUM(N5:N327)</f>
        <v>221</v>
      </c>
      <c r="O2" s="8"/>
      <c r="P2" s="8"/>
      <c r="Q2" s="8"/>
      <c r="S2" s="11"/>
      <c r="AJ2" s="9" t="n">
        <f aca="false">SUM(AJ5:AJ327)</f>
        <v>126</v>
      </c>
      <c r="BB2" s="6" t="n">
        <f aca="false">SUM(BB5:BB327)</f>
        <v>145</v>
      </c>
    </row>
    <row r="3" customFormat="false" ht="12.8" hidden="false" customHeight="false" outlineLevel="0" collapsed="false">
      <c r="B3" s="7"/>
      <c r="C3" s="7"/>
      <c r="D3" s="8"/>
      <c r="E3" s="8"/>
      <c r="F3" s="8"/>
      <c r="G3" s="9"/>
      <c r="I3" s="12" t="s">
        <v>1</v>
      </c>
      <c r="J3" s="12"/>
      <c r="K3" s="12"/>
      <c r="L3" s="12"/>
      <c r="M3" s="12"/>
      <c r="O3" s="8"/>
      <c r="P3" s="8" t="s">
        <v>2</v>
      </c>
      <c r="Q3" s="8"/>
      <c r="S3" s="13" t="s">
        <v>3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O3" s="14" t="s">
        <v>4</v>
      </c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</row>
    <row r="4" customFormat="false" ht="12.8" hidden="false" customHeight="false" outlineLevel="0" collapsed="false">
      <c r="A4" s="15" t="s">
        <v>5</v>
      </c>
      <c r="B4" s="7" t="s">
        <v>6</v>
      </c>
      <c r="C4" s="7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16" t="s">
        <v>13</v>
      </c>
      <c r="J4" s="16" t="s">
        <v>14</v>
      </c>
      <c r="K4" s="17" t="s">
        <v>15</v>
      </c>
      <c r="L4" s="17" t="s">
        <v>16</v>
      </c>
      <c r="M4" s="18" t="s">
        <v>17</v>
      </c>
      <c r="N4" s="18" t="s">
        <v>18</v>
      </c>
      <c r="O4" s="8"/>
      <c r="P4" s="19" t="s">
        <v>19</v>
      </c>
      <c r="Q4" s="12"/>
      <c r="R4" s="7" t="s">
        <v>20</v>
      </c>
      <c r="S4" s="15" t="s">
        <v>7</v>
      </c>
      <c r="T4" s="15" t="s">
        <v>21</v>
      </c>
      <c r="U4" s="15" t="s">
        <v>22</v>
      </c>
      <c r="V4" s="8" t="s">
        <v>23</v>
      </c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31</v>
      </c>
      <c r="AE4" s="8" t="s">
        <v>32</v>
      </c>
      <c r="AF4" s="8" t="s">
        <v>33</v>
      </c>
      <c r="AG4" s="8" t="s">
        <v>34</v>
      </c>
      <c r="AH4" s="8" t="s">
        <v>35</v>
      </c>
      <c r="AI4" s="8" t="s">
        <v>36</v>
      </c>
      <c r="AJ4" s="7" t="s">
        <v>12</v>
      </c>
      <c r="AK4" s="8" t="s">
        <v>37</v>
      </c>
      <c r="AL4" s="20" t="s">
        <v>38</v>
      </c>
      <c r="AN4" s="21" t="s">
        <v>39</v>
      </c>
      <c r="AO4" s="21" t="s">
        <v>7</v>
      </c>
      <c r="AP4" s="21" t="s">
        <v>40</v>
      </c>
      <c r="AQ4" s="21" t="s">
        <v>41</v>
      </c>
      <c r="AR4" s="21" t="s">
        <v>42</v>
      </c>
      <c r="AS4" s="21" t="s">
        <v>22</v>
      </c>
      <c r="AT4" s="22" t="s">
        <v>26</v>
      </c>
      <c r="AU4" s="22" t="s">
        <v>23</v>
      </c>
      <c r="AV4" s="22" t="s">
        <v>43</v>
      </c>
      <c r="AW4" s="22" t="s">
        <v>44</v>
      </c>
      <c r="AX4" s="22" t="s">
        <v>45</v>
      </c>
      <c r="AY4" s="22" t="s">
        <v>46</v>
      </c>
      <c r="AZ4" s="22" t="s">
        <v>47</v>
      </c>
      <c r="BA4" s="22" t="s">
        <v>48</v>
      </c>
      <c r="BB4" s="22" t="s">
        <v>12</v>
      </c>
    </row>
    <row r="5" customFormat="false" ht="12.8" hidden="false" customHeight="false" outlineLevel="0" collapsed="false">
      <c r="A5" s="1" t="n">
        <v>5</v>
      </c>
      <c r="B5" s="23" t="s">
        <v>49</v>
      </c>
      <c r="C5" s="24" t="s">
        <v>50</v>
      </c>
      <c r="D5" s="25" t="n">
        <v>30</v>
      </c>
      <c r="E5" s="25" t="n">
        <v>100</v>
      </c>
      <c r="F5" s="25" t="n">
        <v>14</v>
      </c>
      <c r="G5" s="25" t="n">
        <v>7</v>
      </c>
      <c r="H5" s="3" t="n">
        <v>1</v>
      </c>
      <c r="I5" s="26" t="n">
        <v>0.38</v>
      </c>
      <c r="J5" s="26" t="n">
        <f aca="false">IF(I5="tl", 0, 1)</f>
        <v>1</v>
      </c>
      <c r="K5" s="26" t="n">
        <v>0.66</v>
      </c>
      <c r="L5" s="26" t="n">
        <f aca="false">IF(K5="tl", 0, 1)</f>
        <v>1</v>
      </c>
      <c r="M5" s="26" t="n">
        <v>0.15</v>
      </c>
      <c r="N5" s="26" t="n">
        <f aca="false">IF(M5="tl", 0, 1)</f>
        <v>1</v>
      </c>
      <c r="P5" s="23" t="n">
        <v>0</v>
      </c>
      <c r="Q5" s="23"/>
      <c r="R5" s="2" t="n">
        <f aca="false">IF(S5=C5, 1, 0)</f>
        <v>1</v>
      </c>
      <c r="S5" s="27" t="s">
        <v>50</v>
      </c>
      <c r="T5" s="27" t="n">
        <v>30</v>
      </c>
      <c r="U5" s="27" t="n">
        <v>100</v>
      </c>
      <c r="V5" s="3" t="s">
        <v>51</v>
      </c>
      <c r="W5" s="3" t="n">
        <v>7</v>
      </c>
      <c r="X5" s="3" t="n">
        <v>7</v>
      </c>
      <c r="Y5" s="3" t="n">
        <v>8.00979</v>
      </c>
      <c r="Z5" s="3" t="n">
        <v>5.84561</v>
      </c>
      <c r="AA5" s="3" t="n">
        <v>743</v>
      </c>
      <c r="AB5" s="3" t="n">
        <v>12</v>
      </c>
      <c r="AC5" s="3" t="n">
        <v>430</v>
      </c>
      <c r="AD5" s="3" t="n">
        <v>731</v>
      </c>
      <c r="AE5" s="3" t="n">
        <v>5</v>
      </c>
      <c r="AF5" s="3" t="n">
        <v>0</v>
      </c>
      <c r="AG5" s="3" t="n">
        <v>7</v>
      </c>
      <c r="AH5" s="3" t="n">
        <v>4.28571</v>
      </c>
      <c r="AI5" s="3" t="n">
        <v>10</v>
      </c>
      <c r="AJ5" s="2" t="n">
        <f aca="false">IF(V5="Optimal", 1, 0)</f>
        <v>1</v>
      </c>
      <c r="AK5" s="3" t="n">
        <f aca="false">IF(AJ5=1, W5-G5)</f>
        <v>0</v>
      </c>
      <c r="AL5" s="4" t="n">
        <f aca="false">IF(AND(AH5&lt;&gt;-1, G5&lt;&gt;"-", G5&lt;&gt;"."), ((G5-AH5)/G5)*100, -1)</f>
        <v>38.7755714285714</v>
      </c>
      <c r="AN5" s="5" t="n">
        <f aca="false">IF(AND(AO5=C5, A5=AP5), 1, 0)</f>
        <v>1</v>
      </c>
      <c r="AO5" s="5" t="s">
        <v>50</v>
      </c>
      <c r="AP5" s="5" t="n">
        <v>5</v>
      </c>
      <c r="AQ5" s="5" t="n">
        <v>3600</v>
      </c>
      <c r="AR5" s="5" t="n">
        <v>30</v>
      </c>
      <c r="AS5" s="5" t="n">
        <v>100</v>
      </c>
      <c r="AT5" s="28" t="n">
        <v>10.8525</v>
      </c>
      <c r="AU5" s="28" t="s">
        <v>51</v>
      </c>
      <c r="AV5" s="28" t="n">
        <v>23</v>
      </c>
      <c r="AW5" s="28" t="n">
        <v>23</v>
      </c>
      <c r="AX5" s="28" t="n">
        <v>7</v>
      </c>
      <c r="AY5" s="28" t="n">
        <v>136</v>
      </c>
      <c r="AZ5" s="28" t="n">
        <v>663</v>
      </c>
      <c r="BA5" s="28" t="n">
        <v>3</v>
      </c>
      <c r="BB5" s="6" t="n">
        <f aca="false">IF(AU5="Optimal", 1, 0)</f>
        <v>1</v>
      </c>
    </row>
    <row r="6" customFormat="false" ht="12.8" hidden="false" customHeight="false" outlineLevel="0" collapsed="false">
      <c r="A6" s="1" t="n">
        <v>5</v>
      </c>
      <c r="B6" s="23" t="s">
        <v>49</v>
      </c>
      <c r="C6" s="24" t="s">
        <v>52</v>
      </c>
      <c r="D6" s="25" t="n">
        <v>93</v>
      </c>
      <c r="E6" s="25" t="n">
        <v>593</v>
      </c>
      <c r="F6" s="25" t="n">
        <v>45</v>
      </c>
      <c r="G6" s="25" t="n">
        <v>9</v>
      </c>
      <c r="H6" s="3" t="n">
        <v>1</v>
      </c>
      <c r="I6" s="26" t="n">
        <v>48.53</v>
      </c>
      <c r="J6" s="26" t="n">
        <f aca="false">IF(I6="tl", 0, 1)</f>
        <v>1</v>
      </c>
      <c r="K6" s="26" t="s">
        <v>53</v>
      </c>
      <c r="L6" s="26" t="n">
        <f aca="false">IF(K6="tl", 0, 1)</f>
        <v>0</v>
      </c>
      <c r="M6" s="26" t="n">
        <v>13.51</v>
      </c>
      <c r="N6" s="26" t="n">
        <f aca="false">IF(M6="tl", 0, 1)</f>
        <v>1</v>
      </c>
      <c r="P6" s="23" t="n">
        <v>0</v>
      </c>
      <c r="Q6" s="23"/>
      <c r="R6" s="2" t="n">
        <f aca="false">IF(S6=C6, 1, 0)</f>
        <v>1</v>
      </c>
      <c r="S6" s="27" t="s">
        <v>52</v>
      </c>
      <c r="T6" s="27" t="n">
        <v>93</v>
      </c>
      <c r="U6" s="27" t="n">
        <v>593</v>
      </c>
      <c r="V6" s="3" t="s">
        <v>54</v>
      </c>
      <c r="W6" s="3" t="n">
        <v>43</v>
      </c>
      <c r="X6" s="3" t="n">
        <v>4.08791</v>
      </c>
      <c r="Y6" s="3" t="n">
        <v>1800.02</v>
      </c>
      <c r="Z6" s="3" t="n">
        <v>312.498</v>
      </c>
      <c r="AA6" s="3" t="n">
        <v>20769</v>
      </c>
      <c r="AB6" s="3" t="n">
        <v>3</v>
      </c>
      <c r="AC6" s="3" t="n">
        <v>2465</v>
      </c>
      <c r="AD6" s="3" t="n">
        <v>4245</v>
      </c>
      <c r="AE6" s="3" t="n">
        <v>10</v>
      </c>
      <c r="AF6" s="3" t="n">
        <v>0</v>
      </c>
      <c r="AG6" s="3" t="n">
        <v>1</v>
      </c>
      <c r="AH6" s="3" t="n">
        <v>4.08791</v>
      </c>
      <c r="AI6" s="3" t="n">
        <v>43</v>
      </c>
      <c r="AJ6" s="2" t="n">
        <f aca="false">IF(V6="Optimal", 1, 0)</f>
        <v>0</v>
      </c>
      <c r="AK6" s="29" t="b">
        <f aca="false">IF(AJ6=1, W6-G6)</f>
        <v>0</v>
      </c>
      <c r="AL6" s="4" t="n">
        <f aca="false">IF(AND(AH6&lt;&gt;-1, G6&lt;&gt;"-", G6&lt;&gt;"."), ((G6-AH6)/G6)*100, -1)</f>
        <v>54.5787777777778</v>
      </c>
      <c r="AN6" s="5" t="n">
        <f aca="false">IF(AND(AO6=C6, A6=AP6), 1, 0)</f>
        <v>1</v>
      </c>
      <c r="AO6" s="5" t="s">
        <v>52</v>
      </c>
      <c r="AP6" s="5" t="n">
        <v>5</v>
      </c>
      <c r="AQ6" s="5" t="n">
        <v>3600</v>
      </c>
      <c r="AR6" s="5" t="n">
        <v>93</v>
      </c>
      <c r="AS6" s="5" t="n">
        <v>593</v>
      </c>
      <c r="AT6" s="28" t="n">
        <v>223.828</v>
      </c>
      <c r="AU6" s="28" t="s">
        <v>51</v>
      </c>
      <c r="AV6" s="28" t="n">
        <v>84</v>
      </c>
      <c r="AW6" s="28" t="n">
        <v>84</v>
      </c>
      <c r="AX6" s="28" t="n">
        <v>9</v>
      </c>
      <c r="AY6" s="28" t="n">
        <v>455</v>
      </c>
      <c r="AZ6" s="28" t="n">
        <v>1626</v>
      </c>
      <c r="BA6" s="28" t="n">
        <v>801</v>
      </c>
      <c r="BB6" s="6" t="n">
        <f aca="false">IF(AU6="Optimal", 1, 0)</f>
        <v>1</v>
      </c>
    </row>
    <row r="7" customFormat="false" ht="12.8" hidden="false" customHeight="false" outlineLevel="0" collapsed="false">
      <c r="A7" s="1" t="n">
        <v>5</v>
      </c>
      <c r="B7" s="23" t="s">
        <v>49</v>
      </c>
      <c r="C7" s="24" t="s">
        <v>55</v>
      </c>
      <c r="D7" s="25" t="n">
        <v>67</v>
      </c>
      <c r="E7" s="25" t="n">
        <v>232</v>
      </c>
      <c r="F7" s="25" t="n">
        <v>32</v>
      </c>
      <c r="G7" s="25" t="n">
        <v>7</v>
      </c>
      <c r="H7" s="3" t="n">
        <v>1</v>
      </c>
      <c r="I7" s="26" t="n">
        <v>16.74</v>
      </c>
      <c r="J7" s="26" t="n">
        <f aca="false">IF(I7="tl", 0, 1)</f>
        <v>1</v>
      </c>
      <c r="K7" s="26" t="n">
        <v>174.89</v>
      </c>
      <c r="L7" s="26" t="n">
        <f aca="false">IF(K7="tl", 0, 1)</f>
        <v>1</v>
      </c>
      <c r="M7" s="26" t="n">
        <v>2.96</v>
      </c>
      <c r="N7" s="26" t="n">
        <f aca="false">IF(M7="tl", 0, 1)</f>
        <v>1</v>
      </c>
      <c r="P7" s="23" t="n">
        <v>0</v>
      </c>
      <c r="Q7" s="23"/>
      <c r="R7" s="2" t="n">
        <f aca="false">IF(S7=C7, 1, 0)</f>
        <v>1</v>
      </c>
      <c r="S7" s="27" t="s">
        <v>55</v>
      </c>
      <c r="T7" s="27" t="n">
        <v>67</v>
      </c>
      <c r="U7" s="27" t="n">
        <v>232</v>
      </c>
      <c r="V7" s="3" t="s">
        <v>51</v>
      </c>
      <c r="W7" s="3" t="n">
        <v>7</v>
      </c>
      <c r="X7" s="3" t="n">
        <v>7</v>
      </c>
      <c r="Y7" s="3" t="n">
        <v>14.7846</v>
      </c>
      <c r="Z7" s="3" t="n">
        <v>6.46073</v>
      </c>
      <c r="AA7" s="3" t="n">
        <v>850</v>
      </c>
      <c r="AB7" s="3" t="n">
        <v>16</v>
      </c>
      <c r="AC7" s="3" t="n">
        <v>995</v>
      </c>
      <c r="AD7" s="3" t="n">
        <v>1692</v>
      </c>
      <c r="AE7" s="3" t="n">
        <v>3</v>
      </c>
      <c r="AF7" s="3" t="n">
        <v>0</v>
      </c>
      <c r="AG7" s="3" t="n">
        <v>8</v>
      </c>
      <c r="AH7" s="3" t="n">
        <v>4.12308</v>
      </c>
      <c r="AI7" s="3" t="n">
        <v>27</v>
      </c>
      <c r="AJ7" s="2" t="n">
        <f aca="false">IF(V7="Optimal", 1, 0)</f>
        <v>1</v>
      </c>
      <c r="AK7" s="3" t="n">
        <f aca="false">IF(AJ7=1, W7-G7)</f>
        <v>0</v>
      </c>
      <c r="AL7" s="4" t="n">
        <f aca="false">IF(AND(AH7&lt;&gt;-1, G7&lt;&gt;"-", G7&lt;&gt;"."), ((G7-AH7)/G7)*100, -1)</f>
        <v>41.0988571428571</v>
      </c>
      <c r="AN7" s="5" t="n">
        <f aca="false">IF(AND(AO7=C7, A7=AP7), 1, 0)</f>
        <v>1</v>
      </c>
      <c r="AO7" s="5" t="s">
        <v>55</v>
      </c>
      <c r="AP7" s="5" t="n">
        <v>5</v>
      </c>
      <c r="AQ7" s="5" t="n">
        <v>3600</v>
      </c>
      <c r="AR7" s="5" t="n">
        <v>67</v>
      </c>
      <c r="AS7" s="5" t="n">
        <v>232</v>
      </c>
      <c r="AT7" s="28" t="n">
        <v>75.7969</v>
      </c>
      <c r="AU7" s="28" t="s">
        <v>51</v>
      </c>
      <c r="AV7" s="28" t="n">
        <v>60</v>
      </c>
      <c r="AW7" s="28" t="n">
        <v>60</v>
      </c>
      <c r="AX7" s="28" t="n">
        <v>7</v>
      </c>
      <c r="AY7" s="28" t="n">
        <v>314</v>
      </c>
      <c r="AZ7" s="28" t="n">
        <v>708</v>
      </c>
      <c r="BA7" s="28" t="n">
        <v>497</v>
      </c>
      <c r="BB7" s="6" t="n">
        <f aca="false">IF(AU7="Optimal", 1, 0)</f>
        <v>1</v>
      </c>
    </row>
    <row r="8" customFormat="false" ht="12.8" hidden="false" customHeight="false" outlineLevel="0" collapsed="false">
      <c r="A8" s="1" t="n">
        <v>5</v>
      </c>
      <c r="B8" s="23" t="s">
        <v>49</v>
      </c>
      <c r="C8" s="24" t="s">
        <v>56</v>
      </c>
      <c r="D8" s="25" t="n">
        <v>52</v>
      </c>
      <c r="E8" s="25" t="n">
        <v>201</v>
      </c>
      <c r="F8" s="25" t="n">
        <v>25</v>
      </c>
      <c r="G8" s="25" t="n">
        <v>8</v>
      </c>
      <c r="H8" s="3" t="n">
        <v>1</v>
      </c>
      <c r="I8" s="26" t="n">
        <v>5.7</v>
      </c>
      <c r="J8" s="26" t="n">
        <f aca="false">IF(I8="tl", 0, 1)</f>
        <v>1</v>
      </c>
      <c r="K8" s="26" t="n">
        <v>51.79</v>
      </c>
      <c r="L8" s="26" t="n">
        <f aca="false">IF(K8="tl", 0, 1)</f>
        <v>1</v>
      </c>
      <c r="M8" s="26" t="n">
        <v>8.95</v>
      </c>
      <c r="N8" s="26" t="n">
        <f aca="false">IF(M8="tl", 0, 1)</f>
        <v>1</v>
      </c>
      <c r="P8" s="23" t="n">
        <v>0</v>
      </c>
      <c r="Q8" s="23"/>
      <c r="R8" s="2" t="n">
        <f aca="false">IF(S8=C8, 1, 0)</f>
        <v>1</v>
      </c>
      <c r="S8" s="27" t="s">
        <v>56</v>
      </c>
      <c r="T8" s="27" t="n">
        <v>52</v>
      </c>
      <c r="U8" s="27" t="n">
        <v>201</v>
      </c>
      <c r="V8" s="3" t="s">
        <v>51</v>
      </c>
      <c r="W8" s="3" t="n">
        <v>8</v>
      </c>
      <c r="X8" s="3" t="n">
        <v>8</v>
      </c>
      <c r="Y8" s="3" t="n">
        <v>549.479</v>
      </c>
      <c r="Z8" s="3" t="n">
        <v>301.541</v>
      </c>
      <c r="AA8" s="3" t="n">
        <v>10484</v>
      </c>
      <c r="AB8" s="3" t="n">
        <v>29</v>
      </c>
      <c r="AC8" s="3" t="n">
        <v>856</v>
      </c>
      <c r="AD8" s="3" t="n">
        <v>1460</v>
      </c>
      <c r="AE8" s="3" t="n">
        <v>1</v>
      </c>
      <c r="AF8" s="3" t="n">
        <v>0</v>
      </c>
      <c r="AG8" s="3" t="n">
        <v>10</v>
      </c>
      <c r="AH8" s="3" t="n">
        <v>4.16</v>
      </c>
      <c r="AI8" s="3" t="n">
        <v>30</v>
      </c>
      <c r="AJ8" s="2" t="n">
        <f aca="false">IF(V8="Optimal", 1, 0)</f>
        <v>1</v>
      </c>
      <c r="AK8" s="3" t="n">
        <f aca="false">IF(AJ8=1, W8-G8)</f>
        <v>0</v>
      </c>
      <c r="AL8" s="4" t="n">
        <f aca="false">IF(AND(AH8&lt;&gt;-1, G8&lt;&gt;"-", G8&lt;&gt;"."), ((G8-AH8)/G8)*100, -1)</f>
        <v>48</v>
      </c>
      <c r="AN8" s="5" t="n">
        <f aca="false">IF(AND(AO8=C8, A8=AP8), 1, 0)</f>
        <v>1</v>
      </c>
      <c r="AO8" s="5" t="s">
        <v>56</v>
      </c>
      <c r="AP8" s="5" t="n">
        <v>5</v>
      </c>
      <c r="AQ8" s="5" t="n">
        <v>3600</v>
      </c>
      <c r="AR8" s="5" t="n">
        <v>52</v>
      </c>
      <c r="AS8" s="5" t="n">
        <v>201</v>
      </c>
      <c r="AT8" s="28" t="n">
        <v>27.008</v>
      </c>
      <c r="AU8" s="28" t="s">
        <v>51</v>
      </c>
      <c r="AV8" s="28" t="n">
        <v>44</v>
      </c>
      <c r="AW8" s="28" t="n">
        <v>44</v>
      </c>
      <c r="AX8" s="28" t="n">
        <v>8</v>
      </c>
      <c r="AY8" s="28" t="n">
        <v>240</v>
      </c>
      <c r="AZ8" s="28" t="n">
        <v>775</v>
      </c>
      <c r="BA8" s="28" t="n">
        <v>154</v>
      </c>
      <c r="BB8" s="6" t="n">
        <f aca="false">IF(AU8="Optimal", 1, 0)</f>
        <v>1</v>
      </c>
    </row>
    <row r="9" customFormat="false" ht="12.8" hidden="false" customHeight="false" outlineLevel="0" collapsed="false">
      <c r="A9" s="1" t="n">
        <v>5</v>
      </c>
      <c r="B9" s="23" t="s">
        <v>49</v>
      </c>
      <c r="C9" s="24" t="s">
        <v>57</v>
      </c>
      <c r="D9" s="25" t="n">
        <v>37</v>
      </c>
      <c r="E9" s="25" t="n">
        <v>72</v>
      </c>
      <c r="F9" s="25" t="n">
        <v>18</v>
      </c>
      <c r="G9" s="25" t="n">
        <v>6</v>
      </c>
      <c r="H9" s="3" t="n">
        <v>1</v>
      </c>
      <c r="I9" s="26" t="n">
        <v>0.93</v>
      </c>
      <c r="J9" s="26" t="n">
        <f aca="false">IF(I9="tl", 0, 1)</f>
        <v>1</v>
      </c>
      <c r="K9" s="26" t="n">
        <v>1.9</v>
      </c>
      <c r="L9" s="26" t="n">
        <f aca="false">IF(K9="tl", 0, 1)</f>
        <v>1</v>
      </c>
      <c r="M9" s="26" t="n">
        <v>0.45</v>
      </c>
      <c r="N9" s="26" t="n">
        <f aca="false">IF(M9="tl", 0, 1)</f>
        <v>1</v>
      </c>
      <c r="P9" s="23" t="n">
        <v>0</v>
      </c>
      <c r="Q9" s="23"/>
      <c r="R9" s="2" t="n">
        <f aca="false">IF(S9=C9, 1, 0)</f>
        <v>1</v>
      </c>
      <c r="S9" s="27" t="s">
        <v>57</v>
      </c>
      <c r="T9" s="27" t="n">
        <v>37</v>
      </c>
      <c r="U9" s="27" t="n">
        <v>72</v>
      </c>
      <c r="V9" s="3" t="s">
        <v>51</v>
      </c>
      <c r="W9" s="3" t="n">
        <v>6</v>
      </c>
      <c r="X9" s="3" t="n">
        <v>6</v>
      </c>
      <c r="Y9" s="3" t="n">
        <v>1.90617</v>
      </c>
      <c r="Z9" s="3" t="n">
        <v>1.15906</v>
      </c>
      <c r="AA9" s="3" t="n">
        <v>263</v>
      </c>
      <c r="AB9" s="3" t="n">
        <v>19</v>
      </c>
      <c r="AC9" s="3" t="n">
        <v>325</v>
      </c>
      <c r="AD9" s="3" t="n">
        <v>542</v>
      </c>
      <c r="AE9" s="3" t="n">
        <v>3</v>
      </c>
      <c r="AF9" s="3" t="n">
        <v>0</v>
      </c>
      <c r="AG9" s="3" t="n">
        <v>7</v>
      </c>
      <c r="AH9" s="3" t="n">
        <v>4.22857</v>
      </c>
      <c r="AI9" s="3" t="n">
        <v>19</v>
      </c>
      <c r="AJ9" s="2" t="n">
        <f aca="false">IF(V9="Optimal", 1, 0)</f>
        <v>1</v>
      </c>
      <c r="AK9" s="3" t="n">
        <f aca="false">IF(AJ9=1, W9-G9)</f>
        <v>0</v>
      </c>
      <c r="AL9" s="4" t="n">
        <f aca="false">IF(AND(AH9&lt;&gt;-1, G9&lt;&gt;"-", G9&lt;&gt;"."), ((G9-AH9)/G9)*100, -1)</f>
        <v>29.5238333333333</v>
      </c>
      <c r="AN9" s="5" t="n">
        <f aca="false">IF(AND(AO9=C9, A9=AP9), 1, 0)</f>
        <v>1</v>
      </c>
      <c r="AO9" s="5" t="s">
        <v>57</v>
      </c>
      <c r="AP9" s="5" t="n">
        <v>5</v>
      </c>
      <c r="AQ9" s="5" t="n">
        <v>3600</v>
      </c>
      <c r="AR9" s="5" t="n">
        <v>37</v>
      </c>
      <c r="AS9" s="5" t="n">
        <v>72</v>
      </c>
      <c r="AT9" s="28" t="n">
        <v>5.82083</v>
      </c>
      <c r="AU9" s="28" t="s">
        <v>51</v>
      </c>
      <c r="AV9" s="28" t="n">
        <v>31</v>
      </c>
      <c r="AW9" s="28" t="n">
        <v>31</v>
      </c>
      <c r="AX9" s="28" t="n">
        <v>6</v>
      </c>
      <c r="AY9" s="28" t="n">
        <v>175</v>
      </c>
      <c r="AZ9" s="28" t="n">
        <v>323</v>
      </c>
      <c r="BA9" s="28" t="n">
        <v>45</v>
      </c>
      <c r="BB9" s="6" t="n">
        <f aca="false">IF(AU9="Optimal", 1, 0)</f>
        <v>1</v>
      </c>
    </row>
    <row r="10" customFormat="false" ht="12.8" hidden="false" customHeight="false" outlineLevel="0" collapsed="false">
      <c r="A10" s="1" t="n">
        <v>5</v>
      </c>
      <c r="B10" s="23" t="s">
        <v>49</v>
      </c>
      <c r="C10" s="24" t="s">
        <v>58</v>
      </c>
      <c r="D10" s="25" t="n">
        <v>149</v>
      </c>
      <c r="E10" s="25" t="n">
        <v>541</v>
      </c>
      <c r="F10" s="25" t="n">
        <v>74</v>
      </c>
      <c r="G10" s="25" t="n">
        <v>7</v>
      </c>
      <c r="H10" s="3" t="n">
        <v>1</v>
      </c>
      <c r="I10" s="26" t="n">
        <v>247.02</v>
      </c>
      <c r="J10" s="26" t="n">
        <f aca="false">IF(I10="tl", 0, 1)</f>
        <v>1</v>
      </c>
      <c r="K10" s="26" t="s">
        <v>53</v>
      </c>
      <c r="L10" s="26" t="n">
        <f aca="false">IF(K10="tl", 0, 1)</f>
        <v>0</v>
      </c>
      <c r="M10" s="26" t="n">
        <v>198.26</v>
      </c>
      <c r="N10" s="26" t="n">
        <f aca="false">IF(M10="tl", 0, 1)</f>
        <v>1</v>
      </c>
      <c r="P10" s="23" t="n">
        <v>0</v>
      </c>
      <c r="Q10" s="23"/>
      <c r="R10" s="2" t="n">
        <f aca="false">IF(S10=C10, 1, 0)</f>
        <v>1</v>
      </c>
      <c r="S10" s="27" t="s">
        <v>58</v>
      </c>
      <c r="T10" s="27" t="n">
        <v>149</v>
      </c>
      <c r="U10" s="27" t="n">
        <v>541</v>
      </c>
      <c r="V10" s="3" t="s">
        <v>54</v>
      </c>
      <c r="W10" s="3" t="n">
        <v>14</v>
      </c>
      <c r="X10" s="3" t="n">
        <v>5.33333</v>
      </c>
      <c r="Y10" s="3" t="n">
        <v>1800.19</v>
      </c>
      <c r="Z10" s="3" t="n">
        <v>836.713</v>
      </c>
      <c r="AA10" s="3" t="n">
        <v>11504</v>
      </c>
      <c r="AB10" s="3" t="n">
        <v>9</v>
      </c>
      <c r="AC10" s="3" t="n">
        <v>2313</v>
      </c>
      <c r="AD10" s="3" t="n">
        <v>3937</v>
      </c>
      <c r="AE10" s="3" t="n">
        <v>9</v>
      </c>
      <c r="AF10" s="3" t="n">
        <v>0</v>
      </c>
      <c r="AG10" s="3" t="n">
        <v>4</v>
      </c>
      <c r="AH10" s="3" t="n">
        <v>4.05442</v>
      </c>
      <c r="AI10" s="3" t="n">
        <v>36</v>
      </c>
      <c r="AJ10" s="2" t="n">
        <f aca="false">IF(V10="Optimal", 1, 0)</f>
        <v>0</v>
      </c>
      <c r="AK10" s="29" t="b">
        <f aca="false">IF(AJ10=1, W10-G10)</f>
        <v>0</v>
      </c>
      <c r="AL10" s="4" t="n">
        <f aca="false">IF(AND(AH10&lt;&gt;-1, G10&lt;&gt;"-", G10&lt;&gt;"."), ((G10-AH10)/G10)*100, -1)</f>
        <v>42.0797142857143</v>
      </c>
      <c r="AN10" s="5" t="n">
        <f aca="false">IF(AND(AO10=C10, A10=AP10), 1, 0)</f>
        <v>1</v>
      </c>
      <c r="AO10" s="5" t="s">
        <v>58</v>
      </c>
      <c r="AP10" s="5" t="n">
        <v>5</v>
      </c>
      <c r="AQ10" s="5" t="n">
        <v>3600</v>
      </c>
      <c r="AR10" s="5" t="n">
        <v>149</v>
      </c>
      <c r="AS10" s="5" t="n">
        <v>541</v>
      </c>
      <c r="AT10" s="28" t="n">
        <v>832.279</v>
      </c>
      <c r="AU10" s="28" t="s">
        <v>51</v>
      </c>
      <c r="AV10" s="28" t="n">
        <v>142</v>
      </c>
      <c r="AW10" s="28" t="n">
        <v>142</v>
      </c>
      <c r="AX10" s="28" t="n">
        <v>7</v>
      </c>
      <c r="AY10" s="28" t="n">
        <v>735</v>
      </c>
      <c r="AZ10" s="28" t="n">
        <v>1363</v>
      </c>
      <c r="BA10" s="28" t="n">
        <v>1335</v>
      </c>
      <c r="BB10" s="6" t="n">
        <f aca="false">IF(AU10="Optimal", 1, 0)</f>
        <v>1</v>
      </c>
    </row>
    <row r="11" customFormat="false" ht="12.8" hidden="false" customHeight="false" outlineLevel="0" collapsed="false">
      <c r="A11" s="1" t="n">
        <v>5</v>
      </c>
      <c r="B11" s="23" t="s">
        <v>49</v>
      </c>
      <c r="C11" s="24" t="s">
        <v>59</v>
      </c>
      <c r="D11" s="25" t="n">
        <v>80</v>
      </c>
      <c r="E11" s="25" t="n">
        <v>346</v>
      </c>
      <c r="F11" s="25" t="n">
        <v>37</v>
      </c>
      <c r="G11" s="25" t="n">
        <v>9</v>
      </c>
      <c r="H11" s="3" t="n">
        <v>1</v>
      </c>
      <c r="I11" s="26" t="n">
        <v>25.32</v>
      </c>
      <c r="J11" s="26" t="n">
        <f aca="false">IF(I11="tl", 0, 1)</f>
        <v>1</v>
      </c>
      <c r="K11" s="26" t="s">
        <v>53</v>
      </c>
      <c r="L11" s="26" t="n">
        <f aca="false">IF(K11="tl", 0, 1)</f>
        <v>0</v>
      </c>
      <c r="M11" s="26" t="n">
        <v>43.78</v>
      </c>
      <c r="N11" s="26" t="n">
        <f aca="false">IF(M11="tl", 0, 1)</f>
        <v>1</v>
      </c>
      <c r="P11" s="23" t="n">
        <v>0</v>
      </c>
      <c r="Q11" s="23"/>
      <c r="R11" s="2" t="n">
        <f aca="false">IF(S11=C11, 1, 0)</f>
        <v>1</v>
      </c>
      <c r="S11" s="27" t="s">
        <v>59</v>
      </c>
      <c r="T11" s="27" t="n">
        <v>80</v>
      </c>
      <c r="U11" s="27" t="n">
        <v>346</v>
      </c>
      <c r="V11" s="3" t="s">
        <v>54</v>
      </c>
      <c r="W11" s="3" t="n">
        <v>37</v>
      </c>
      <c r="X11" s="3" t="n">
        <v>4.53333</v>
      </c>
      <c r="Y11" s="3" t="n">
        <v>1800.04</v>
      </c>
      <c r="Z11" s="3" t="n">
        <v>939.639</v>
      </c>
      <c r="AA11" s="3" t="n">
        <v>14643</v>
      </c>
      <c r="AB11" s="3" t="n">
        <v>4</v>
      </c>
      <c r="AC11" s="3" t="n">
        <v>1464</v>
      </c>
      <c r="AD11" s="3" t="n">
        <v>2503</v>
      </c>
      <c r="AE11" s="3" t="n">
        <v>12</v>
      </c>
      <c r="AF11" s="3" t="n">
        <v>0</v>
      </c>
      <c r="AG11" s="3" t="n">
        <v>2</v>
      </c>
      <c r="AH11" s="3" t="n">
        <v>4.10256</v>
      </c>
      <c r="AI11" s="3" t="n">
        <v>37</v>
      </c>
      <c r="AJ11" s="2" t="n">
        <f aca="false">IF(V11="Optimal", 1, 0)</f>
        <v>0</v>
      </c>
      <c r="AK11" s="29" t="b">
        <f aca="false">IF(AJ11=1, W11-G11)</f>
        <v>0</v>
      </c>
      <c r="AL11" s="4" t="n">
        <f aca="false">IF(AND(AH11&lt;&gt;-1, G11&lt;&gt;"-", G11&lt;&gt;"."), ((G11-AH11)/G11)*100, -1)</f>
        <v>54.416</v>
      </c>
      <c r="AN11" s="5" t="n">
        <f aca="false">IF(AND(AO11=C11, A11=AP11), 1, 0)</f>
        <v>1</v>
      </c>
      <c r="AO11" s="5" t="s">
        <v>59</v>
      </c>
      <c r="AP11" s="5" t="n">
        <v>5</v>
      </c>
      <c r="AQ11" s="5" t="n">
        <v>3600</v>
      </c>
      <c r="AR11" s="5" t="n">
        <v>80</v>
      </c>
      <c r="AS11" s="5" t="n">
        <v>346</v>
      </c>
      <c r="AT11" s="28" t="n">
        <v>279.109</v>
      </c>
      <c r="AU11" s="28" t="s">
        <v>51</v>
      </c>
      <c r="AV11" s="28" t="n">
        <v>71</v>
      </c>
      <c r="AW11" s="28" t="n">
        <v>71</v>
      </c>
      <c r="AX11" s="28" t="n">
        <v>9</v>
      </c>
      <c r="AY11" s="28" t="n">
        <v>390</v>
      </c>
      <c r="AZ11" s="28" t="n">
        <v>1217</v>
      </c>
      <c r="BA11" s="28" t="n">
        <v>2628</v>
      </c>
      <c r="BB11" s="6" t="n">
        <f aca="false">IF(AU11="Optimal", 1, 0)</f>
        <v>1</v>
      </c>
    </row>
    <row r="12" customFormat="false" ht="12.8" hidden="false" customHeight="false" outlineLevel="0" collapsed="false">
      <c r="A12" s="1" t="n">
        <v>5</v>
      </c>
      <c r="B12" s="23" t="s">
        <v>49</v>
      </c>
      <c r="C12" s="24" t="s">
        <v>60</v>
      </c>
      <c r="D12" s="25" t="n">
        <v>56</v>
      </c>
      <c r="E12" s="25" t="n">
        <v>110</v>
      </c>
      <c r="F12" s="25" t="n">
        <v>27</v>
      </c>
      <c r="G12" s="25" t="n">
        <v>6</v>
      </c>
      <c r="H12" s="3" t="n">
        <v>1</v>
      </c>
      <c r="I12" s="26" t="n">
        <v>8.91</v>
      </c>
      <c r="J12" s="26" t="n">
        <f aca="false">IF(I12="tl", 0, 1)</f>
        <v>1</v>
      </c>
      <c r="K12" s="26" t="n">
        <v>13.35</v>
      </c>
      <c r="L12" s="26" t="n">
        <f aca="false">IF(K12="tl", 0, 1)</f>
        <v>1</v>
      </c>
      <c r="M12" s="26" t="n">
        <v>0.83</v>
      </c>
      <c r="N12" s="26" t="n">
        <f aca="false">IF(M12="tl", 0, 1)</f>
        <v>1</v>
      </c>
      <c r="P12" s="23" t="n">
        <v>0</v>
      </c>
      <c r="Q12" s="23"/>
      <c r="R12" s="2" t="n">
        <f aca="false">IF(S12=C12, 1, 0)</f>
        <v>1</v>
      </c>
      <c r="S12" s="27" t="s">
        <v>60</v>
      </c>
      <c r="T12" s="27" t="n">
        <v>56</v>
      </c>
      <c r="U12" s="27" t="n">
        <v>110</v>
      </c>
      <c r="V12" s="3" t="s">
        <v>51</v>
      </c>
      <c r="W12" s="3" t="n">
        <v>6</v>
      </c>
      <c r="X12" s="3" t="n">
        <v>6</v>
      </c>
      <c r="Y12" s="3" t="n">
        <v>7.26314</v>
      </c>
      <c r="Z12" s="3" t="n">
        <v>5.12589</v>
      </c>
      <c r="AA12" s="3" t="n">
        <v>473</v>
      </c>
      <c r="AB12" s="3" t="n">
        <v>12</v>
      </c>
      <c r="AC12" s="3" t="n">
        <v>496</v>
      </c>
      <c r="AD12" s="3" t="n">
        <v>827</v>
      </c>
      <c r="AE12" s="3" t="n">
        <v>1</v>
      </c>
      <c r="AF12" s="3" t="n">
        <v>0</v>
      </c>
      <c r="AG12" s="3" t="n">
        <v>7</v>
      </c>
      <c r="AH12" s="3" t="n">
        <v>4.14815</v>
      </c>
      <c r="AI12" s="3" t="n">
        <v>22</v>
      </c>
      <c r="AJ12" s="2" t="n">
        <f aca="false">IF(V12="Optimal", 1, 0)</f>
        <v>1</v>
      </c>
      <c r="AK12" s="3" t="n">
        <f aca="false">IF(AJ12=1, W12-G12)</f>
        <v>0</v>
      </c>
      <c r="AL12" s="4" t="n">
        <f aca="false">IF(AND(AH12&lt;&gt;-1, G12&lt;&gt;"-", G12&lt;&gt;"."), ((G12-AH12)/G12)*100, -1)</f>
        <v>30.8641666666667</v>
      </c>
      <c r="AN12" s="5" t="n">
        <f aca="false">IF(AND(AO12=C12, A12=AP12), 1, 0)</f>
        <v>1</v>
      </c>
      <c r="AO12" s="5" t="s">
        <v>60</v>
      </c>
      <c r="AP12" s="5" t="n">
        <v>5</v>
      </c>
      <c r="AQ12" s="5" t="n">
        <v>3600</v>
      </c>
      <c r="AR12" s="5" t="n">
        <v>56</v>
      </c>
      <c r="AS12" s="5" t="n">
        <v>110</v>
      </c>
      <c r="AT12" s="28" t="n">
        <v>39.7577</v>
      </c>
      <c r="AU12" s="28" t="s">
        <v>51</v>
      </c>
      <c r="AV12" s="28" t="n">
        <v>50</v>
      </c>
      <c r="AW12" s="28" t="n">
        <v>50</v>
      </c>
      <c r="AX12" s="28" t="n">
        <v>6</v>
      </c>
      <c r="AY12" s="28" t="n">
        <v>270</v>
      </c>
      <c r="AZ12" s="28" t="n">
        <v>839</v>
      </c>
      <c r="BA12" s="28" t="n">
        <v>546</v>
      </c>
      <c r="BB12" s="6" t="n">
        <f aca="false">IF(AU12="Optimal", 1, 0)</f>
        <v>1</v>
      </c>
    </row>
    <row r="13" customFormat="false" ht="12.8" hidden="false" customHeight="false" outlineLevel="0" collapsed="false">
      <c r="A13" s="1" t="n">
        <v>5</v>
      </c>
      <c r="B13" s="23" t="s">
        <v>49</v>
      </c>
      <c r="C13" s="24" t="s">
        <v>61</v>
      </c>
      <c r="D13" s="25" t="n">
        <v>114</v>
      </c>
      <c r="E13" s="25" t="n">
        <v>541</v>
      </c>
      <c r="F13" s="25" t="n">
        <v>55</v>
      </c>
      <c r="G13" s="25" t="n">
        <v>9</v>
      </c>
      <c r="H13" s="3" t="n">
        <v>1</v>
      </c>
      <c r="I13" s="26" t="n">
        <v>60.07</v>
      </c>
      <c r="J13" s="26" t="n">
        <f aca="false">IF(I13="tl", 0, 1)</f>
        <v>1</v>
      </c>
      <c r="K13" s="26" t="s">
        <v>53</v>
      </c>
      <c r="L13" s="26" t="n">
        <f aca="false">IF(K13="tl", 0, 1)</f>
        <v>0</v>
      </c>
      <c r="M13" s="26" t="n">
        <v>2520.5</v>
      </c>
      <c r="N13" s="26" t="n">
        <f aca="false">IF(M13="tl", 0, 1)</f>
        <v>1</v>
      </c>
      <c r="P13" s="23" t="n">
        <v>0</v>
      </c>
      <c r="Q13" s="23"/>
      <c r="R13" s="2" t="n">
        <f aca="false">IF(S13=C13, 1, 0)</f>
        <v>1</v>
      </c>
      <c r="S13" s="27" t="s">
        <v>61</v>
      </c>
      <c r="T13" s="27" t="n">
        <v>114</v>
      </c>
      <c r="U13" s="27" t="n">
        <v>541</v>
      </c>
      <c r="V13" s="3" t="s">
        <v>54</v>
      </c>
      <c r="W13" s="3" t="n">
        <v>17</v>
      </c>
      <c r="X13" s="3" t="n">
        <v>4.44444</v>
      </c>
      <c r="Y13" s="3" t="n">
        <v>1800.03</v>
      </c>
      <c r="Z13" s="3" t="n">
        <v>656.633</v>
      </c>
      <c r="AA13" s="3" t="n">
        <v>14309</v>
      </c>
      <c r="AB13" s="3" t="n">
        <v>6</v>
      </c>
      <c r="AC13" s="3" t="n">
        <v>2278</v>
      </c>
      <c r="AD13" s="3" t="n">
        <v>3902</v>
      </c>
      <c r="AE13" s="3" t="n">
        <v>4</v>
      </c>
      <c r="AF13" s="3" t="n">
        <v>0</v>
      </c>
      <c r="AG13" s="3" t="n">
        <v>3</v>
      </c>
      <c r="AH13" s="3" t="n">
        <v>4.07143</v>
      </c>
      <c r="AI13" s="3" t="n">
        <v>59</v>
      </c>
      <c r="AJ13" s="2" t="n">
        <f aca="false">IF(V13="Optimal", 1, 0)</f>
        <v>0</v>
      </c>
      <c r="AK13" s="29" t="b">
        <f aca="false">IF(AJ13=1, W13-G13)</f>
        <v>0</v>
      </c>
      <c r="AL13" s="4" t="n">
        <f aca="false">IF(AND(AH13&lt;&gt;-1, G13&lt;&gt;"-", G13&lt;&gt;"."), ((G13-AH13)/G13)*100, -1)</f>
        <v>54.7618888888889</v>
      </c>
      <c r="AN13" s="5" t="n">
        <f aca="false">IF(AND(AO13=C13, A13=AP13), 1, 0)</f>
        <v>1</v>
      </c>
      <c r="AO13" s="5" t="s">
        <v>61</v>
      </c>
      <c r="AP13" s="5" t="n">
        <v>5</v>
      </c>
      <c r="AQ13" s="5" t="n">
        <v>3600</v>
      </c>
      <c r="AR13" s="5" t="n">
        <v>114</v>
      </c>
      <c r="AS13" s="5" t="n">
        <v>541</v>
      </c>
      <c r="AT13" s="28" t="n">
        <v>1081.07</v>
      </c>
      <c r="AU13" s="28" t="s">
        <v>51</v>
      </c>
      <c r="AV13" s="28" t="n">
        <v>105</v>
      </c>
      <c r="AW13" s="28" t="n">
        <v>105</v>
      </c>
      <c r="AX13" s="28" t="n">
        <v>9</v>
      </c>
      <c r="AY13" s="28" t="n">
        <v>558</v>
      </c>
      <c r="AZ13" s="28" t="n">
        <v>1798</v>
      </c>
      <c r="BA13" s="28" t="n">
        <v>3690</v>
      </c>
      <c r="BB13" s="6" t="n">
        <f aca="false">IF(AU13="Optimal", 1, 0)</f>
        <v>1</v>
      </c>
    </row>
    <row r="14" customFormat="false" ht="12.8" hidden="false" customHeight="false" outlineLevel="0" collapsed="false">
      <c r="A14" s="1" t="n">
        <v>5</v>
      </c>
      <c r="B14" s="23" t="s">
        <v>49</v>
      </c>
      <c r="C14" s="24" t="s">
        <v>62</v>
      </c>
      <c r="D14" s="25" t="n">
        <v>79</v>
      </c>
      <c r="E14" s="25" t="n">
        <v>156</v>
      </c>
      <c r="F14" s="25" t="n">
        <v>39</v>
      </c>
      <c r="G14" s="25" t="n">
        <v>6</v>
      </c>
      <c r="H14" s="3" t="n">
        <v>1</v>
      </c>
      <c r="I14" s="26" t="n">
        <v>36.61</v>
      </c>
      <c r="J14" s="26" t="n">
        <f aca="false">IF(I14="tl", 0, 1)</f>
        <v>1</v>
      </c>
      <c r="K14" s="26" t="n">
        <v>29.07</v>
      </c>
      <c r="L14" s="26" t="n">
        <f aca="false">IF(K14="tl", 0, 1)</f>
        <v>1</v>
      </c>
      <c r="M14" s="26" t="n">
        <v>2.2</v>
      </c>
      <c r="N14" s="26" t="n">
        <f aca="false">IF(M14="tl", 0, 1)</f>
        <v>1</v>
      </c>
      <c r="P14" s="23" t="n">
        <v>0</v>
      </c>
      <c r="Q14" s="23"/>
      <c r="R14" s="2" t="n">
        <f aca="false">IF(S14=C14, 1, 0)</f>
        <v>1</v>
      </c>
      <c r="S14" s="27" t="s">
        <v>62</v>
      </c>
      <c r="T14" s="27" t="n">
        <v>79</v>
      </c>
      <c r="U14" s="27" t="n">
        <v>156</v>
      </c>
      <c r="V14" s="3" t="s">
        <v>51</v>
      </c>
      <c r="W14" s="3" t="n">
        <v>6</v>
      </c>
      <c r="X14" s="3" t="n">
        <v>6</v>
      </c>
      <c r="Y14" s="3" t="n">
        <v>62.0206</v>
      </c>
      <c r="Z14" s="3" t="n">
        <v>48.6834</v>
      </c>
      <c r="AA14" s="3" t="n">
        <v>1920</v>
      </c>
      <c r="AB14" s="3" t="n">
        <v>37</v>
      </c>
      <c r="AC14" s="3" t="n">
        <v>703</v>
      </c>
      <c r="AD14" s="3" t="n">
        <v>1172</v>
      </c>
      <c r="AE14" s="3" t="n">
        <v>7</v>
      </c>
      <c r="AF14" s="3" t="n">
        <v>0</v>
      </c>
      <c r="AG14" s="3" t="n">
        <v>14</v>
      </c>
      <c r="AH14" s="3" t="n">
        <v>4.1039</v>
      </c>
      <c r="AI14" s="3" t="n">
        <v>25</v>
      </c>
      <c r="AJ14" s="2" t="n">
        <f aca="false">IF(V14="Optimal", 1, 0)</f>
        <v>1</v>
      </c>
      <c r="AK14" s="3" t="n">
        <f aca="false">IF(AJ14=1, W14-G14)</f>
        <v>0</v>
      </c>
      <c r="AL14" s="4" t="n">
        <f aca="false">IF(AND(AH14&lt;&gt;-1, G14&lt;&gt;"-", G14&lt;&gt;"."), ((G14-AH14)/G14)*100, -1)</f>
        <v>31.6016666666667</v>
      </c>
      <c r="AN14" s="5" t="n">
        <f aca="false">IF(AND(AO14=C14, A14=AP14), 1, 0)</f>
        <v>1</v>
      </c>
      <c r="AO14" s="5" t="s">
        <v>62</v>
      </c>
      <c r="AP14" s="5" t="n">
        <v>5</v>
      </c>
      <c r="AQ14" s="5" t="n">
        <v>3600</v>
      </c>
      <c r="AR14" s="5" t="n">
        <v>79</v>
      </c>
      <c r="AS14" s="5" t="n">
        <v>156</v>
      </c>
      <c r="AT14" s="28" t="n">
        <v>132.014</v>
      </c>
      <c r="AU14" s="28" t="s">
        <v>51</v>
      </c>
      <c r="AV14" s="28" t="n">
        <v>73</v>
      </c>
      <c r="AW14" s="28" t="n">
        <v>73</v>
      </c>
      <c r="AX14" s="28" t="n">
        <v>6</v>
      </c>
      <c r="AY14" s="28" t="n">
        <v>383</v>
      </c>
      <c r="AZ14" s="28" t="n">
        <v>805</v>
      </c>
      <c r="BA14" s="28" t="n">
        <v>2489</v>
      </c>
      <c r="BB14" s="6" t="n">
        <f aca="false">IF(AU14="Optimal", 1, 0)</f>
        <v>1</v>
      </c>
    </row>
    <row r="15" customFormat="false" ht="12.8" hidden="false" customHeight="false" outlineLevel="0" collapsed="false">
      <c r="A15" s="1" t="n">
        <v>5</v>
      </c>
      <c r="B15" s="23" t="s">
        <v>49</v>
      </c>
      <c r="C15" s="24" t="s">
        <v>63</v>
      </c>
      <c r="D15" s="25" t="n">
        <v>154</v>
      </c>
      <c r="E15" s="25" t="n">
        <v>792</v>
      </c>
      <c r="F15" s="25" t="n">
        <v>72</v>
      </c>
      <c r="G15" s="25" t="n">
        <v>9</v>
      </c>
      <c r="H15" s="3" t="n">
        <v>1</v>
      </c>
      <c r="I15" s="26" t="n">
        <v>311.26</v>
      </c>
      <c r="J15" s="26" t="n">
        <f aca="false">IF(I15="tl", 0, 1)</f>
        <v>1</v>
      </c>
      <c r="K15" s="26" t="s">
        <v>53</v>
      </c>
      <c r="L15" s="26" t="n">
        <f aca="false">IF(K15="tl", 0, 1)</f>
        <v>0</v>
      </c>
      <c r="M15" s="26" t="n">
        <v>2968</v>
      </c>
      <c r="N15" s="26" t="n">
        <f aca="false">IF(M15="tl", 0, 1)</f>
        <v>1</v>
      </c>
      <c r="P15" s="23" t="n">
        <v>0</v>
      </c>
      <c r="Q15" s="23"/>
      <c r="R15" s="2" t="n">
        <f aca="false">IF(S15=C15, 1, 0)</f>
        <v>1</v>
      </c>
      <c r="S15" s="27" t="s">
        <v>63</v>
      </c>
      <c r="T15" s="27" t="n">
        <v>154</v>
      </c>
      <c r="U15" s="27" t="n">
        <v>792</v>
      </c>
      <c r="V15" s="3" t="s">
        <v>54</v>
      </c>
      <c r="W15" s="3" t="n">
        <v>85</v>
      </c>
      <c r="X15" s="3" t="n">
        <v>4.05263</v>
      </c>
      <c r="Y15" s="3" t="n">
        <v>1800.02</v>
      </c>
      <c r="Z15" s="3" t="n">
        <v>176.105</v>
      </c>
      <c r="AA15" s="3" t="n">
        <v>9714</v>
      </c>
      <c r="AB15" s="3" t="n">
        <v>7</v>
      </c>
      <c r="AC15" s="3" t="n">
        <v>3322</v>
      </c>
      <c r="AD15" s="3" t="n">
        <v>5699</v>
      </c>
      <c r="AE15" s="3" t="n">
        <v>12</v>
      </c>
      <c r="AF15" s="3" t="n">
        <v>0</v>
      </c>
      <c r="AG15" s="3" t="n">
        <v>5</v>
      </c>
      <c r="AH15" s="3" t="n">
        <v>4.05263</v>
      </c>
      <c r="AI15" s="3" t="n">
        <v>85</v>
      </c>
      <c r="AJ15" s="2" t="n">
        <f aca="false">IF(V15="Optimal", 1, 0)</f>
        <v>0</v>
      </c>
      <c r="AK15" s="29" t="b">
        <f aca="false">IF(AJ15=1, W15-G15)</f>
        <v>0</v>
      </c>
      <c r="AL15" s="4" t="n">
        <f aca="false">IF(AND(AH15&lt;&gt;-1, G15&lt;&gt;"-", G15&lt;&gt;"."), ((G15-AH15)/G15)*100, -1)</f>
        <v>54.9707777777778</v>
      </c>
      <c r="AN15" s="5" t="n">
        <f aca="false">IF(AND(AO15=C15, A15=AP15), 1, 0)</f>
        <v>1</v>
      </c>
      <c r="AO15" s="5" t="s">
        <v>63</v>
      </c>
      <c r="AP15" s="5" t="n">
        <v>5</v>
      </c>
      <c r="AQ15" s="5" t="n">
        <v>3600</v>
      </c>
      <c r="AR15" s="5" t="n">
        <v>154</v>
      </c>
      <c r="AS15" s="5" t="n">
        <v>792</v>
      </c>
      <c r="AT15" s="28" t="n">
        <v>3600</v>
      </c>
      <c r="AU15" s="28" t="s">
        <v>54</v>
      </c>
      <c r="AV15" s="28" t="n">
        <v>148.322</v>
      </c>
      <c r="AW15" s="28" t="n">
        <v>145</v>
      </c>
      <c r="AX15" s="28" t="n">
        <v>9</v>
      </c>
      <c r="AY15" s="28" t="n">
        <v>751</v>
      </c>
      <c r="AZ15" s="28" t="n">
        <v>4366</v>
      </c>
      <c r="BA15" s="28" t="n">
        <v>2181</v>
      </c>
      <c r="BB15" s="6" t="n">
        <f aca="false">IF(AU15="Optimal", 1, 0)</f>
        <v>0</v>
      </c>
    </row>
    <row r="16" customFormat="false" ht="12.8" hidden="false" customHeight="false" outlineLevel="0" collapsed="false">
      <c r="A16" s="1" t="n">
        <v>5</v>
      </c>
      <c r="B16" s="23" t="s">
        <v>64</v>
      </c>
      <c r="C16" s="24" t="s">
        <v>65</v>
      </c>
      <c r="D16" s="25" t="n">
        <v>112</v>
      </c>
      <c r="E16" s="25" t="n">
        <v>425</v>
      </c>
      <c r="F16" s="25" t="n">
        <v>53</v>
      </c>
      <c r="G16" s="25" t="n">
        <v>2</v>
      </c>
      <c r="H16" s="3" t="n">
        <v>1</v>
      </c>
      <c r="I16" s="26" t="n">
        <v>1.35</v>
      </c>
      <c r="J16" s="26" t="n">
        <f aca="false">IF(I16="tl", 0, 1)</f>
        <v>1</v>
      </c>
      <c r="K16" s="26" t="n">
        <v>2200.58</v>
      </c>
      <c r="L16" s="26" t="n">
        <f aca="false">IF(K16="tl", 0, 1)</f>
        <v>1</v>
      </c>
      <c r="M16" s="26" t="n">
        <v>0.01</v>
      </c>
      <c r="N16" s="26" t="n">
        <f aca="false">IF(M16="tl", 0, 1)</f>
        <v>1</v>
      </c>
      <c r="P16" s="23" t="n">
        <v>0</v>
      </c>
      <c r="Q16" s="23"/>
      <c r="R16" s="2" t="n">
        <f aca="false">IF(S16=C16, 1, 0)</f>
        <v>1</v>
      </c>
      <c r="S16" s="27" t="s">
        <v>65</v>
      </c>
      <c r="T16" s="27" t="n">
        <v>112</v>
      </c>
      <c r="U16" s="27" t="n">
        <v>425</v>
      </c>
      <c r="V16" s="3" t="s">
        <v>51</v>
      </c>
      <c r="W16" s="3" t="n">
        <v>2</v>
      </c>
      <c r="X16" s="3" t="n">
        <v>2</v>
      </c>
      <c r="Y16" s="3" t="n">
        <v>1.99839</v>
      </c>
      <c r="Z16" s="3" t="n">
        <v>0.980841</v>
      </c>
      <c r="AA16" s="3" t="n">
        <v>611</v>
      </c>
      <c r="AB16" s="3" t="n">
        <v>1</v>
      </c>
      <c r="AC16" s="3" t="n">
        <v>1812</v>
      </c>
      <c r="AD16" s="3" t="n">
        <v>3088</v>
      </c>
      <c r="AE16" s="3" t="n">
        <v>74</v>
      </c>
      <c r="AF16" s="3" t="n">
        <v>0</v>
      </c>
      <c r="AG16" s="3" t="n">
        <v>0</v>
      </c>
      <c r="AH16" s="3" t="n">
        <v>-1</v>
      </c>
      <c r="AI16" s="3" t="n">
        <v>-1</v>
      </c>
      <c r="AJ16" s="2" t="n">
        <f aca="false">IF(V16="Optimal", 1, 0)</f>
        <v>1</v>
      </c>
      <c r="AK16" s="3" t="n">
        <f aca="false">IF(AJ16=1, W16-G16)</f>
        <v>0</v>
      </c>
      <c r="AL16" s="4" t="n">
        <f aca="false">IF(AND(AH16&lt;&gt;-1, G16&lt;&gt;"-", G16&lt;&gt;"."), ((G16-AH16)/G16)*100, -1)</f>
        <v>-1</v>
      </c>
      <c r="AN16" s="5" t="n">
        <f aca="false">IF(AND(AO16=C16, A16=AP16), 1, 0)</f>
        <v>1</v>
      </c>
      <c r="AO16" s="5" t="s">
        <v>65</v>
      </c>
      <c r="AP16" s="5" t="n">
        <v>5</v>
      </c>
      <c r="AQ16" s="5" t="n">
        <v>3600</v>
      </c>
      <c r="AR16" s="5" t="n">
        <v>112</v>
      </c>
      <c r="AS16" s="5" t="n">
        <v>425</v>
      </c>
      <c r="AT16" s="28" t="n">
        <v>27.1318</v>
      </c>
      <c r="AU16" s="28" t="s">
        <v>51</v>
      </c>
      <c r="AV16" s="28" t="n">
        <v>110</v>
      </c>
      <c r="AW16" s="28" t="n">
        <v>110</v>
      </c>
      <c r="AX16" s="28" t="n">
        <v>2</v>
      </c>
      <c r="AY16" s="28" t="n">
        <v>540</v>
      </c>
      <c r="AZ16" s="28" t="n">
        <v>2051</v>
      </c>
      <c r="BA16" s="28" t="n">
        <v>3</v>
      </c>
      <c r="BB16" s="6" t="n">
        <f aca="false">IF(AU16="Optimal", 1, 0)</f>
        <v>1</v>
      </c>
    </row>
    <row r="17" customFormat="false" ht="12.8" hidden="false" customHeight="false" outlineLevel="0" collapsed="false">
      <c r="A17" s="1" t="n">
        <v>5</v>
      </c>
      <c r="B17" s="23" t="s">
        <v>49</v>
      </c>
      <c r="C17" s="24" t="s">
        <v>66</v>
      </c>
      <c r="D17" s="25" t="n">
        <v>138</v>
      </c>
      <c r="E17" s="25" t="n">
        <v>493</v>
      </c>
      <c r="F17" s="25" t="n">
        <v>80</v>
      </c>
      <c r="G17" s="25" t="n">
        <v>1</v>
      </c>
      <c r="H17" s="3" t="n">
        <v>1</v>
      </c>
      <c r="I17" s="26" t="n">
        <v>0.31</v>
      </c>
      <c r="J17" s="26" t="n">
        <f aca="false">IF(I17="tl", 0, 1)</f>
        <v>1</v>
      </c>
      <c r="K17" s="26" t="n">
        <v>42.6</v>
      </c>
      <c r="L17" s="26" t="n">
        <f aca="false">IF(K17="tl", 0, 1)</f>
        <v>1</v>
      </c>
      <c r="M17" s="26" t="n">
        <v>0</v>
      </c>
      <c r="N17" s="26" t="n">
        <f aca="false">IF(M17="tl", 0, 1)</f>
        <v>1</v>
      </c>
      <c r="P17" s="23" t="n">
        <v>0</v>
      </c>
      <c r="Q17" s="23"/>
      <c r="R17" s="2" t="n">
        <f aca="false">IF(S17=C17, 1, 0)</f>
        <v>1</v>
      </c>
      <c r="S17" s="27" t="s">
        <v>66</v>
      </c>
      <c r="T17" s="27" t="n">
        <v>138</v>
      </c>
      <c r="U17" s="27" t="n">
        <v>493</v>
      </c>
      <c r="V17" s="3" t="s">
        <v>54</v>
      </c>
      <c r="W17" s="30" t="n">
        <v>1E+020</v>
      </c>
      <c r="X17" s="30" t="n">
        <v>1</v>
      </c>
      <c r="Y17" s="3" t="n">
        <v>1800</v>
      </c>
      <c r="Z17" s="3" t="n">
        <v>29.2738</v>
      </c>
      <c r="AA17" s="3" t="n">
        <v>3638</v>
      </c>
      <c r="AB17" s="3" t="n">
        <v>1</v>
      </c>
      <c r="AC17" s="3" t="n">
        <v>2110</v>
      </c>
      <c r="AD17" s="3" t="n">
        <v>3590</v>
      </c>
      <c r="AE17" s="3" t="n">
        <v>3007</v>
      </c>
      <c r="AF17" s="3" t="n">
        <v>0</v>
      </c>
      <c r="AG17" s="3" t="n">
        <v>0</v>
      </c>
      <c r="AH17" s="3" t="n">
        <v>-1</v>
      </c>
      <c r="AI17" s="3" t="n">
        <v>-1</v>
      </c>
      <c r="AJ17" s="2" t="n">
        <f aca="false">IF(V17="Optimal", 1, 0)</f>
        <v>0</v>
      </c>
      <c r="AK17" s="29" t="b">
        <f aca="false">IF(AJ17=1, W17-G17)</f>
        <v>0</v>
      </c>
      <c r="AL17" s="4" t="n">
        <f aca="false">IF(AND(AH17&lt;&gt;-1, G17&lt;&gt;"-", G17&lt;&gt;"."), ((G17-AH17)/G17)*100, -1)</f>
        <v>-1</v>
      </c>
      <c r="AN17" s="5" t="n">
        <f aca="false">IF(AND(AO17=C17, A17=AP17), 1, 0)</f>
        <v>1</v>
      </c>
      <c r="AO17" s="5" t="s">
        <v>66</v>
      </c>
      <c r="AP17" s="5" t="n">
        <v>5</v>
      </c>
      <c r="AQ17" s="5" t="n">
        <v>3600</v>
      </c>
      <c r="AR17" s="5" t="n">
        <v>138</v>
      </c>
      <c r="AS17" s="5" t="n">
        <v>493</v>
      </c>
      <c r="AT17" s="28" t="n">
        <v>16.4801</v>
      </c>
      <c r="AU17" s="28" t="s">
        <v>51</v>
      </c>
      <c r="AV17" s="28" t="n">
        <v>137</v>
      </c>
      <c r="AW17" s="28" t="n">
        <v>137</v>
      </c>
      <c r="AX17" s="28" t="n">
        <v>1</v>
      </c>
      <c r="AY17" s="28" t="n">
        <v>690</v>
      </c>
      <c r="AZ17" s="28" t="n">
        <v>2664</v>
      </c>
      <c r="BA17" s="28" t="n">
        <v>2</v>
      </c>
      <c r="BB17" s="6" t="n">
        <f aca="false">IF(AU17="Optimal", 1, 0)</f>
        <v>1</v>
      </c>
    </row>
    <row r="18" customFormat="false" ht="12.8" hidden="false" customHeight="false" outlineLevel="0" collapsed="false">
      <c r="A18" s="1" t="n">
        <v>5</v>
      </c>
      <c r="B18" s="23" t="s">
        <v>67</v>
      </c>
      <c r="C18" s="24" t="s">
        <v>68</v>
      </c>
      <c r="D18" s="25" t="n">
        <v>130</v>
      </c>
      <c r="E18" s="25" t="n">
        <v>7763</v>
      </c>
      <c r="F18" s="25" t="n">
        <v>6</v>
      </c>
      <c r="G18" s="25" t="n">
        <v>83</v>
      </c>
      <c r="H18" s="3" t="n">
        <v>1</v>
      </c>
      <c r="I18" s="25" t="n">
        <v>0.1</v>
      </c>
      <c r="J18" s="26" t="n">
        <f aca="false">IF(I18="tl", 0, 1)</f>
        <v>1</v>
      </c>
      <c r="K18" s="25" t="s">
        <v>53</v>
      </c>
      <c r="L18" s="26" t="n">
        <f aca="false">IF(K18="tl", 0, 1)</f>
        <v>0</v>
      </c>
      <c r="M18" s="25" t="n">
        <v>40.89</v>
      </c>
      <c r="N18" s="26" t="n">
        <f aca="false">IF(M18="tl", 0, 1)</f>
        <v>1</v>
      </c>
      <c r="P18" s="23" t="n">
        <v>0</v>
      </c>
      <c r="Q18" s="23"/>
      <c r="R18" s="2" t="n">
        <f aca="false">IF(S18=C18, 1, 0)</f>
        <v>1</v>
      </c>
      <c r="S18" s="27" t="s">
        <v>68</v>
      </c>
      <c r="T18" s="27" t="n">
        <v>130</v>
      </c>
      <c r="U18" s="27" t="n">
        <v>7763</v>
      </c>
      <c r="V18" s="3" t="s">
        <v>54</v>
      </c>
      <c r="W18" s="3" t="n">
        <v>84</v>
      </c>
      <c r="X18" s="3" t="n">
        <v>5.06299</v>
      </c>
      <c r="Y18" s="3" t="n">
        <v>1800.01</v>
      </c>
      <c r="Z18" s="3" t="n">
        <v>414.732</v>
      </c>
      <c r="AA18" s="3" t="n">
        <v>8398</v>
      </c>
      <c r="AB18" s="3" t="n">
        <v>10</v>
      </c>
      <c r="AC18" s="3" t="n">
        <v>31182</v>
      </c>
      <c r="AD18" s="3" t="n">
        <v>54472</v>
      </c>
      <c r="AE18" s="3" t="n">
        <v>3</v>
      </c>
      <c r="AF18" s="3" t="n">
        <v>0</v>
      </c>
      <c r="AG18" s="3" t="n">
        <v>8</v>
      </c>
      <c r="AH18" s="3" t="n">
        <v>4.0625</v>
      </c>
      <c r="AI18" s="3" t="n">
        <v>123</v>
      </c>
      <c r="AJ18" s="2" t="n">
        <f aca="false">IF(V18="Optimal", 1, 0)</f>
        <v>0</v>
      </c>
      <c r="AK18" s="29" t="b">
        <f aca="false">IF(AJ18=1, W18-G18)</f>
        <v>0</v>
      </c>
      <c r="AL18" s="4" t="n">
        <f aca="false">IF(AND(AH18&lt;&gt;-1, G18&lt;&gt;"-", G18&lt;&gt;"."), ((G18-AH18)/G18)*100, -1)</f>
        <v>95.105421686747</v>
      </c>
      <c r="AN18" s="5" t="n">
        <f aca="false">IF(AND(AO18=C18, A18=AP18), 1, 0)</f>
        <v>1</v>
      </c>
      <c r="AO18" s="5" t="s">
        <v>68</v>
      </c>
      <c r="AP18" s="5" t="n">
        <v>5</v>
      </c>
      <c r="AQ18" s="5" t="n">
        <v>3600</v>
      </c>
      <c r="AR18" s="5" t="n">
        <v>130</v>
      </c>
      <c r="AS18" s="5" t="n">
        <v>7763</v>
      </c>
      <c r="AT18" s="28" t="n">
        <v>140.268</v>
      </c>
      <c r="AU18" s="28" t="s">
        <v>51</v>
      </c>
      <c r="AV18" s="28" t="n">
        <v>47</v>
      </c>
      <c r="AW18" s="28" t="n">
        <v>47</v>
      </c>
      <c r="AX18" s="28" t="n">
        <v>83</v>
      </c>
      <c r="AY18" s="28" t="n">
        <v>190</v>
      </c>
      <c r="AZ18" s="28" t="n">
        <v>96</v>
      </c>
      <c r="BA18" s="28" t="n">
        <v>15</v>
      </c>
      <c r="BB18" s="6" t="n">
        <f aca="false">IF(AU18="Optimal", 1, 0)</f>
        <v>1</v>
      </c>
    </row>
    <row r="19" customFormat="false" ht="12.8" hidden="false" customHeight="false" outlineLevel="0" collapsed="false">
      <c r="A19" s="1" t="n">
        <v>5</v>
      </c>
      <c r="B19" s="23" t="s">
        <v>67</v>
      </c>
      <c r="C19" s="24" t="s">
        <v>69</v>
      </c>
      <c r="D19" s="25" t="n">
        <v>85</v>
      </c>
      <c r="E19" s="25" t="n">
        <v>219</v>
      </c>
      <c r="F19" s="25" t="n">
        <v>29</v>
      </c>
      <c r="G19" s="25" t="n">
        <v>7</v>
      </c>
      <c r="H19" s="3" t="n">
        <v>1</v>
      </c>
      <c r="I19" s="25" t="n">
        <v>57.19</v>
      </c>
      <c r="J19" s="26" t="n">
        <f aca="false">IF(I19="tl", 0, 1)</f>
        <v>1</v>
      </c>
      <c r="K19" s="25" t="n">
        <v>26.01</v>
      </c>
      <c r="L19" s="26" t="n">
        <f aca="false">IF(K19="tl", 0, 1)</f>
        <v>1</v>
      </c>
      <c r="M19" s="25" t="n">
        <v>132.71</v>
      </c>
      <c r="N19" s="26" t="n">
        <f aca="false">IF(M19="tl", 0, 1)</f>
        <v>1</v>
      </c>
      <c r="P19" s="23" t="n">
        <v>0</v>
      </c>
      <c r="Q19" s="23"/>
      <c r="R19" s="2" t="n">
        <f aca="false">IF(S19=C19, 1, 0)</f>
        <v>1</v>
      </c>
      <c r="S19" s="27" t="s">
        <v>69</v>
      </c>
      <c r="T19" s="27" t="n">
        <v>85</v>
      </c>
      <c r="U19" s="27" t="n">
        <v>219</v>
      </c>
      <c r="V19" s="3" t="s">
        <v>51</v>
      </c>
      <c r="W19" s="3" t="n">
        <v>7</v>
      </c>
      <c r="X19" s="3" t="n">
        <v>7</v>
      </c>
      <c r="Y19" s="3" t="n">
        <v>245.444</v>
      </c>
      <c r="Z19" s="3" t="n">
        <v>188.204</v>
      </c>
      <c r="AA19" s="3" t="n">
        <v>4958</v>
      </c>
      <c r="AB19" s="3" t="n">
        <v>90</v>
      </c>
      <c r="AC19" s="3" t="n">
        <v>961</v>
      </c>
      <c r="AD19" s="3" t="n">
        <v>1619</v>
      </c>
      <c r="AE19" s="3" t="n">
        <v>42</v>
      </c>
      <c r="AF19" s="3" t="n">
        <v>0</v>
      </c>
      <c r="AG19" s="3" t="n">
        <v>10</v>
      </c>
      <c r="AH19" s="3" t="n">
        <v>4.09639</v>
      </c>
      <c r="AI19" s="3" t="n">
        <v>31</v>
      </c>
      <c r="AJ19" s="2" t="n">
        <f aca="false">IF(V19="Optimal", 1, 0)</f>
        <v>1</v>
      </c>
      <c r="AK19" s="3" t="n">
        <f aca="false">IF(AJ19=1, W19-G19)</f>
        <v>0</v>
      </c>
      <c r="AL19" s="4" t="n">
        <f aca="false">IF(AND(AH19&lt;&gt;-1, G19&lt;&gt;"-", G19&lt;&gt;"."), ((G19-AH19)/G19)*100, -1)</f>
        <v>41.4801428571429</v>
      </c>
      <c r="AN19" s="5" t="n">
        <f aca="false">IF(AND(AO19=C19, A19=AP19), 1, 0)</f>
        <v>1</v>
      </c>
      <c r="AO19" s="5" t="s">
        <v>69</v>
      </c>
      <c r="AP19" s="5" t="n">
        <v>5</v>
      </c>
      <c r="AQ19" s="5" t="n">
        <v>3600</v>
      </c>
      <c r="AR19" s="5" t="n">
        <v>85</v>
      </c>
      <c r="AS19" s="5" t="n">
        <v>219</v>
      </c>
      <c r="AT19" s="28" t="n">
        <v>360.597</v>
      </c>
      <c r="AU19" s="28" t="s">
        <v>51</v>
      </c>
      <c r="AV19" s="28" t="n">
        <v>78</v>
      </c>
      <c r="AW19" s="28" t="n">
        <v>78</v>
      </c>
      <c r="AX19" s="28" t="n">
        <v>7</v>
      </c>
      <c r="AY19" s="28" t="n">
        <v>403</v>
      </c>
      <c r="AZ19" s="28" t="n">
        <v>1192</v>
      </c>
      <c r="BA19" s="28" t="n">
        <v>9982</v>
      </c>
      <c r="BB19" s="6" t="n">
        <f aca="false">IF(AU19="Optimal", 1, 0)</f>
        <v>1</v>
      </c>
    </row>
    <row r="20" customFormat="false" ht="12.8" hidden="false" customHeight="false" outlineLevel="0" collapsed="false">
      <c r="A20" s="1" t="n">
        <v>5</v>
      </c>
      <c r="B20" s="23" t="s">
        <v>67</v>
      </c>
      <c r="C20" s="24" t="s">
        <v>70</v>
      </c>
      <c r="D20" s="25" t="n">
        <v>104</v>
      </c>
      <c r="E20" s="25" t="n">
        <v>331</v>
      </c>
      <c r="F20" s="25" t="n">
        <v>30</v>
      </c>
      <c r="G20" s="25" t="n">
        <v>8</v>
      </c>
      <c r="H20" s="3" t="n">
        <v>1</v>
      </c>
      <c r="I20" s="25" t="n">
        <v>190.01</v>
      </c>
      <c r="J20" s="26" t="n">
        <f aca="false">IF(I20="tl", 0, 1)</f>
        <v>1</v>
      </c>
      <c r="K20" s="25" t="n">
        <v>24.67</v>
      </c>
      <c r="L20" s="26" t="n">
        <f aca="false">IF(K20="tl", 0, 1)</f>
        <v>1</v>
      </c>
      <c r="M20" s="25" t="n">
        <v>1923.06</v>
      </c>
      <c r="N20" s="26" t="n">
        <f aca="false">IF(M20="tl", 0, 1)</f>
        <v>1</v>
      </c>
      <c r="P20" s="23" t="n">
        <v>0</v>
      </c>
      <c r="Q20" s="23"/>
      <c r="R20" s="2" t="n">
        <f aca="false">IF(S20=C20, 1, 0)</f>
        <v>1</v>
      </c>
      <c r="S20" s="27" t="s">
        <v>70</v>
      </c>
      <c r="T20" s="27" t="n">
        <v>104</v>
      </c>
      <c r="U20" s="27" t="n">
        <v>331</v>
      </c>
      <c r="V20" s="3" t="s">
        <v>54</v>
      </c>
      <c r="W20" s="3" t="n">
        <v>8</v>
      </c>
      <c r="X20" s="3" t="n">
        <v>5.37647</v>
      </c>
      <c r="Y20" s="3" t="n">
        <v>1800.02</v>
      </c>
      <c r="Z20" s="3" t="n">
        <v>1476.19</v>
      </c>
      <c r="AA20" s="3" t="n">
        <v>11194</v>
      </c>
      <c r="AB20" s="3" t="n">
        <v>194</v>
      </c>
      <c r="AC20" s="3" t="n">
        <v>1428</v>
      </c>
      <c r="AD20" s="3" t="n">
        <v>2422</v>
      </c>
      <c r="AE20" s="3" t="n">
        <v>65</v>
      </c>
      <c r="AF20" s="3" t="n">
        <v>0</v>
      </c>
      <c r="AG20" s="3" t="n">
        <v>15</v>
      </c>
      <c r="AH20" s="3" t="n">
        <v>4.07843</v>
      </c>
      <c r="AI20" s="3" t="n">
        <v>58</v>
      </c>
      <c r="AJ20" s="2" t="n">
        <f aca="false">IF(V20="Optimal", 1, 0)</f>
        <v>0</v>
      </c>
      <c r="AK20" s="29" t="b">
        <f aca="false">IF(AJ20=1, W20-G20)</f>
        <v>0</v>
      </c>
      <c r="AL20" s="4" t="n">
        <f aca="false">IF(AND(AH20&lt;&gt;-1, G20&lt;&gt;"-", G20&lt;&gt;"."), ((G20-AH20)/G20)*100, -1)</f>
        <v>49.019625</v>
      </c>
      <c r="AN20" s="5" t="n">
        <f aca="false">IF(AND(AO20=C20, A20=AP20), 1, 0)</f>
        <v>1</v>
      </c>
      <c r="AO20" s="5" t="s">
        <v>70</v>
      </c>
      <c r="AP20" s="5" t="n">
        <v>5</v>
      </c>
      <c r="AQ20" s="5" t="n">
        <v>3600</v>
      </c>
      <c r="AR20" s="5" t="n">
        <v>104</v>
      </c>
      <c r="AS20" s="5" t="n">
        <v>331</v>
      </c>
      <c r="AT20" s="28" t="n">
        <v>2075.37</v>
      </c>
      <c r="AU20" s="28" t="s">
        <v>51</v>
      </c>
      <c r="AV20" s="28" t="n">
        <v>96</v>
      </c>
      <c r="AW20" s="28" t="n">
        <v>96</v>
      </c>
      <c r="AX20" s="28" t="n">
        <v>8</v>
      </c>
      <c r="AY20" s="28" t="n">
        <v>489</v>
      </c>
      <c r="AZ20" s="28" t="n">
        <v>1701</v>
      </c>
      <c r="BA20" s="28" t="n">
        <v>77481</v>
      </c>
      <c r="BB20" s="6" t="n">
        <f aca="false">IF(AU20="Optimal", 1, 0)</f>
        <v>1</v>
      </c>
    </row>
    <row r="21" customFormat="false" ht="12.8" hidden="false" customHeight="false" outlineLevel="0" collapsed="false">
      <c r="A21" s="1" t="n">
        <v>5</v>
      </c>
      <c r="B21" s="23" t="s">
        <v>67</v>
      </c>
      <c r="C21" s="24" t="s">
        <v>71</v>
      </c>
      <c r="D21" s="25" t="n">
        <v>85</v>
      </c>
      <c r="E21" s="25" t="n">
        <v>616</v>
      </c>
      <c r="F21" s="25" t="n">
        <v>14</v>
      </c>
      <c r="G21" s="25" t="n">
        <v>22</v>
      </c>
      <c r="H21" s="3" t="n">
        <v>1</v>
      </c>
      <c r="I21" s="25" t="n">
        <v>219.87</v>
      </c>
      <c r="J21" s="26" t="n">
        <f aca="false">IF(I21="tl", 0, 1)</f>
        <v>1</v>
      </c>
      <c r="K21" s="25" t="s">
        <v>53</v>
      </c>
      <c r="L21" s="26" t="n">
        <f aca="false">IF(K21="tl", 0, 1)</f>
        <v>0</v>
      </c>
      <c r="M21" s="25" t="s">
        <v>53</v>
      </c>
      <c r="N21" s="26" t="n">
        <f aca="false">IF(M21="tl", 0, 1)</f>
        <v>0</v>
      </c>
      <c r="P21" s="23" t="n">
        <v>0</v>
      </c>
      <c r="Q21" s="23"/>
      <c r="R21" s="2" t="n">
        <f aca="false">IF(S21=C21, 1, 0)</f>
        <v>1</v>
      </c>
      <c r="S21" s="27" t="s">
        <v>71</v>
      </c>
      <c r="T21" s="27" t="n">
        <v>85</v>
      </c>
      <c r="U21" s="27" t="n">
        <v>616</v>
      </c>
      <c r="V21" s="3" t="s">
        <v>54</v>
      </c>
      <c r="W21" s="3" t="n">
        <v>74</v>
      </c>
      <c r="X21" s="3" t="n">
        <v>5.33333</v>
      </c>
      <c r="Y21" s="3" t="n">
        <v>1800.33</v>
      </c>
      <c r="Z21" s="3" t="n">
        <v>1281.85</v>
      </c>
      <c r="AA21" s="3" t="n">
        <v>13585</v>
      </c>
      <c r="AB21" s="3" t="n">
        <v>11</v>
      </c>
      <c r="AC21" s="3" t="n">
        <v>2549</v>
      </c>
      <c r="AD21" s="3" t="n">
        <v>4398</v>
      </c>
      <c r="AE21" s="3" t="n">
        <v>13</v>
      </c>
      <c r="AF21" s="3" t="n">
        <v>0</v>
      </c>
      <c r="AG21" s="3" t="n">
        <v>5</v>
      </c>
      <c r="AH21" s="3" t="n">
        <v>4.09639</v>
      </c>
      <c r="AI21" s="3" t="n">
        <v>74</v>
      </c>
      <c r="AJ21" s="2" t="n">
        <f aca="false">IF(V21="Optimal", 1, 0)</f>
        <v>0</v>
      </c>
      <c r="AK21" s="29" t="b">
        <f aca="false">IF(AJ21=1, W21-G21)</f>
        <v>0</v>
      </c>
      <c r="AL21" s="4" t="n">
        <f aca="false">IF(AND(AH21&lt;&gt;-1, G21&lt;&gt;"-", G21&lt;&gt;"."), ((G21-AH21)/G21)*100, -1)</f>
        <v>81.3800454545455</v>
      </c>
      <c r="AN21" s="5" t="n">
        <f aca="false">IF(AND(AO21=C21, A21=AP21), 1, 0)</f>
        <v>1</v>
      </c>
      <c r="AO21" s="5" t="s">
        <v>71</v>
      </c>
      <c r="AP21" s="5" t="n">
        <v>5</v>
      </c>
      <c r="AQ21" s="5" t="n">
        <v>3600</v>
      </c>
      <c r="AR21" s="5" t="n">
        <v>85</v>
      </c>
      <c r="AS21" s="5" t="n">
        <v>616</v>
      </c>
      <c r="AT21" s="28" t="n">
        <v>3600</v>
      </c>
      <c r="AU21" s="28" t="s">
        <v>54</v>
      </c>
      <c r="AV21" s="28" t="n">
        <v>72.6201</v>
      </c>
      <c r="AW21" s="28" t="n">
        <v>63</v>
      </c>
      <c r="AX21" s="28" t="n">
        <v>22</v>
      </c>
      <c r="AY21" s="28" t="n">
        <v>392</v>
      </c>
      <c r="AZ21" s="28" t="n">
        <v>3762</v>
      </c>
      <c r="BA21" s="28" t="n">
        <v>124988</v>
      </c>
      <c r="BB21" s="6" t="n">
        <f aca="false">IF(AU21="Optimal", 1, 0)</f>
        <v>0</v>
      </c>
    </row>
    <row r="22" customFormat="false" ht="12.8" hidden="false" customHeight="false" outlineLevel="0" collapsed="false">
      <c r="A22" s="1" t="n">
        <v>5</v>
      </c>
      <c r="B22" s="23" t="s">
        <v>67</v>
      </c>
      <c r="C22" s="24" t="s">
        <v>72</v>
      </c>
      <c r="D22" s="25" t="n">
        <v>39</v>
      </c>
      <c r="E22" s="25" t="n">
        <v>118</v>
      </c>
      <c r="F22" s="25" t="n">
        <v>13</v>
      </c>
      <c r="G22" s="25" t="n">
        <v>7</v>
      </c>
      <c r="H22" s="3" t="n">
        <v>1</v>
      </c>
      <c r="I22" s="25" t="n">
        <v>1.04</v>
      </c>
      <c r="J22" s="26" t="n">
        <f aca="false">IF(I22="tl", 0, 1)</f>
        <v>1</v>
      </c>
      <c r="K22" s="25" t="n">
        <v>1.89</v>
      </c>
      <c r="L22" s="26" t="n">
        <f aca="false">IF(K22="tl", 0, 1)</f>
        <v>1</v>
      </c>
      <c r="M22" s="25" t="n">
        <v>0.37</v>
      </c>
      <c r="N22" s="26" t="n">
        <f aca="false">IF(M22="tl", 0, 1)</f>
        <v>1</v>
      </c>
      <c r="P22" s="23" t="n">
        <v>0</v>
      </c>
      <c r="Q22" s="23"/>
      <c r="R22" s="2" t="n">
        <f aca="false">IF(S22=C22, 1, 0)</f>
        <v>1</v>
      </c>
      <c r="S22" s="27" t="s">
        <v>72</v>
      </c>
      <c r="T22" s="27" t="n">
        <v>39</v>
      </c>
      <c r="U22" s="27" t="n">
        <v>118</v>
      </c>
      <c r="V22" s="3" t="s">
        <v>51</v>
      </c>
      <c r="W22" s="3" t="n">
        <v>7</v>
      </c>
      <c r="X22" s="3" t="n">
        <v>7</v>
      </c>
      <c r="Y22" s="3" t="n">
        <v>10.6657</v>
      </c>
      <c r="Z22" s="3" t="n">
        <v>7.3453</v>
      </c>
      <c r="AA22" s="3" t="n">
        <v>920</v>
      </c>
      <c r="AB22" s="3" t="n">
        <v>85</v>
      </c>
      <c r="AC22" s="3" t="n">
        <v>511</v>
      </c>
      <c r="AD22" s="3" t="n">
        <v>866</v>
      </c>
      <c r="AE22" s="3" t="n">
        <v>28</v>
      </c>
      <c r="AF22" s="3" t="n">
        <v>0</v>
      </c>
      <c r="AG22" s="3" t="n">
        <v>12</v>
      </c>
      <c r="AH22" s="3" t="n">
        <v>4.21622</v>
      </c>
      <c r="AI22" s="3" t="n">
        <v>18</v>
      </c>
      <c r="AJ22" s="2" t="n">
        <f aca="false">IF(V22="Optimal", 1, 0)</f>
        <v>1</v>
      </c>
      <c r="AK22" s="3" t="n">
        <f aca="false">IF(AJ22=1, W22-G22)</f>
        <v>0</v>
      </c>
      <c r="AL22" s="4" t="n">
        <f aca="false">IF(AND(AH22&lt;&gt;-1, G22&lt;&gt;"-", G22&lt;&gt;"."), ((G22-AH22)/G22)*100, -1)</f>
        <v>39.7682857142857</v>
      </c>
      <c r="AN22" s="5" t="n">
        <f aca="false">IF(AND(AO22=C22, A22=AP22), 1, 0)</f>
        <v>1</v>
      </c>
      <c r="AO22" s="5" t="s">
        <v>72</v>
      </c>
      <c r="AP22" s="5" t="n">
        <v>5</v>
      </c>
      <c r="AQ22" s="5" t="n">
        <v>3600</v>
      </c>
      <c r="AR22" s="5" t="n">
        <v>39</v>
      </c>
      <c r="AS22" s="5" t="n">
        <v>118</v>
      </c>
      <c r="AT22" s="28" t="n">
        <v>11.0056</v>
      </c>
      <c r="AU22" s="28" t="s">
        <v>51</v>
      </c>
      <c r="AV22" s="28" t="n">
        <v>32</v>
      </c>
      <c r="AW22" s="28" t="n">
        <v>32</v>
      </c>
      <c r="AX22" s="28" t="n">
        <v>7</v>
      </c>
      <c r="AY22" s="28" t="n">
        <v>165</v>
      </c>
      <c r="AZ22" s="28" t="n">
        <v>636</v>
      </c>
      <c r="BA22" s="28" t="n">
        <v>341</v>
      </c>
      <c r="BB22" s="6" t="n">
        <f aca="false">IF(AU22="Optimal", 1, 0)</f>
        <v>1</v>
      </c>
    </row>
    <row r="23" customFormat="false" ht="12.8" hidden="false" customHeight="false" outlineLevel="0" collapsed="false">
      <c r="A23" s="1" t="n">
        <v>5</v>
      </c>
      <c r="B23" s="23" t="s">
        <v>67</v>
      </c>
      <c r="C23" s="24" t="s">
        <v>73</v>
      </c>
      <c r="D23" s="25" t="n">
        <v>49</v>
      </c>
      <c r="E23" s="25" t="n">
        <v>177</v>
      </c>
      <c r="F23" s="25" t="n">
        <v>16</v>
      </c>
      <c r="G23" s="25" t="n">
        <v>7</v>
      </c>
      <c r="H23" s="3" t="n">
        <v>1</v>
      </c>
      <c r="I23" s="25" t="n">
        <v>4.55</v>
      </c>
      <c r="J23" s="26" t="n">
        <f aca="false">IF(I23="tl", 0, 1)</f>
        <v>1</v>
      </c>
      <c r="K23" s="25" t="n">
        <v>9.39</v>
      </c>
      <c r="L23" s="26" t="n">
        <f aca="false">IF(K23="tl", 0, 1)</f>
        <v>1</v>
      </c>
      <c r="M23" s="25" t="n">
        <v>1.54</v>
      </c>
      <c r="N23" s="26" t="n">
        <f aca="false">IF(M23="tl", 0, 1)</f>
        <v>1</v>
      </c>
      <c r="P23" s="23" t="n">
        <v>0</v>
      </c>
      <c r="Q23" s="23"/>
      <c r="R23" s="2" t="n">
        <f aca="false">IF(S23=C23, 1, 0)</f>
        <v>1</v>
      </c>
      <c r="S23" s="27" t="s">
        <v>73</v>
      </c>
      <c r="T23" s="27" t="n">
        <v>49</v>
      </c>
      <c r="U23" s="27" t="n">
        <v>177</v>
      </c>
      <c r="V23" s="3" t="s">
        <v>51</v>
      </c>
      <c r="W23" s="3" t="n">
        <v>7</v>
      </c>
      <c r="X23" s="3" t="n">
        <v>7</v>
      </c>
      <c r="Y23" s="3" t="n">
        <v>7.03107</v>
      </c>
      <c r="Z23" s="3" t="n">
        <v>3.39866</v>
      </c>
      <c r="AA23" s="3" t="n">
        <v>656</v>
      </c>
      <c r="AB23" s="3" t="n">
        <v>15</v>
      </c>
      <c r="AC23" s="3" t="n">
        <v>757</v>
      </c>
      <c r="AD23" s="3" t="n">
        <v>1289</v>
      </c>
      <c r="AE23" s="3" t="n">
        <v>14</v>
      </c>
      <c r="AF23" s="3" t="n">
        <v>0</v>
      </c>
      <c r="AG23" s="3" t="n">
        <v>5</v>
      </c>
      <c r="AH23" s="3" t="n">
        <v>4.17021</v>
      </c>
      <c r="AI23" s="3" t="n">
        <v>20</v>
      </c>
      <c r="AJ23" s="2" t="n">
        <f aca="false">IF(V23="Optimal", 1, 0)</f>
        <v>1</v>
      </c>
      <c r="AK23" s="3" t="n">
        <f aca="false">IF(AJ23=1, W23-G23)</f>
        <v>0</v>
      </c>
      <c r="AL23" s="4" t="n">
        <f aca="false">IF(AND(AH23&lt;&gt;-1, G23&lt;&gt;"-", G23&lt;&gt;"."), ((G23-AH23)/G23)*100, -1)</f>
        <v>40.4255714285714</v>
      </c>
      <c r="AN23" s="5" t="n">
        <f aca="false">IF(AND(AO23=C23, A23=AP23), 1, 0)</f>
        <v>1</v>
      </c>
      <c r="AO23" s="5" t="s">
        <v>73</v>
      </c>
      <c r="AP23" s="5" t="n">
        <v>5</v>
      </c>
      <c r="AQ23" s="5" t="n">
        <v>3600</v>
      </c>
      <c r="AR23" s="5" t="n">
        <v>49</v>
      </c>
      <c r="AS23" s="5" t="n">
        <v>177</v>
      </c>
      <c r="AT23" s="28" t="n">
        <v>25.3384</v>
      </c>
      <c r="AU23" s="28" t="s">
        <v>51</v>
      </c>
      <c r="AV23" s="28" t="n">
        <v>42</v>
      </c>
      <c r="AW23" s="28" t="n">
        <v>42</v>
      </c>
      <c r="AX23" s="28" t="n">
        <v>7</v>
      </c>
      <c r="AY23" s="28" t="n">
        <v>235</v>
      </c>
      <c r="AZ23" s="28" t="n">
        <v>694</v>
      </c>
      <c r="BA23" s="28" t="n">
        <v>489</v>
      </c>
      <c r="BB23" s="6" t="n">
        <f aca="false">IF(AU23="Optimal", 1, 0)</f>
        <v>1</v>
      </c>
    </row>
    <row r="24" customFormat="false" ht="12.8" hidden="false" customHeight="false" outlineLevel="0" collapsed="false">
      <c r="A24" s="1" t="n">
        <v>5</v>
      </c>
      <c r="B24" s="23" t="s">
        <v>67</v>
      </c>
      <c r="C24" s="24" t="s">
        <v>74</v>
      </c>
      <c r="D24" s="25" t="n">
        <v>118</v>
      </c>
      <c r="E24" s="25" t="n">
        <v>576</v>
      </c>
      <c r="F24" s="25" t="n">
        <v>32</v>
      </c>
      <c r="G24" s="25" t="n">
        <v>10</v>
      </c>
      <c r="H24" s="3" t="n">
        <v>1</v>
      </c>
      <c r="I24" s="25" t="n">
        <v>175.02</v>
      </c>
      <c r="J24" s="26" t="n">
        <f aca="false">IF(I24="tl", 0, 1)</f>
        <v>1</v>
      </c>
      <c r="K24" s="25" t="n">
        <v>230.01</v>
      </c>
      <c r="L24" s="26" t="n">
        <f aca="false">IF(K24="tl", 0, 1)</f>
        <v>1</v>
      </c>
      <c r="M24" s="25" t="s">
        <v>53</v>
      </c>
      <c r="N24" s="26" t="n">
        <f aca="false">IF(M24="tl", 0, 1)</f>
        <v>0</v>
      </c>
      <c r="P24" s="23" t="n">
        <v>0</v>
      </c>
      <c r="Q24" s="23"/>
      <c r="R24" s="2" t="n">
        <f aca="false">IF(S24=C24, 1, 0)</f>
        <v>1</v>
      </c>
      <c r="S24" s="27" t="s">
        <v>74</v>
      </c>
      <c r="T24" s="27" t="n">
        <v>118</v>
      </c>
      <c r="U24" s="27" t="n">
        <v>576</v>
      </c>
      <c r="V24" s="3" t="s">
        <v>54</v>
      </c>
      <c r="W24" s="30" t="n">
        <v>82</v>
      </c>
      <c r="X24" s="30" t="n">
        <v>4.56471</v>
      </c>
      <c r="Y24" s="3" t="n">
        <v>1800.09</v>
      </c>
      <c r="Z24" s="3" t="n">
        <v>127.93</v>
      </c>
      <c r="AA24" s="3" t="n">
        <v>8093</v>
      </c>
      <c r="AB24" s="3" t="n">
        <v>6</v>
      </c>
      <c r="AC24" s="3" t="n">
        <v>2422</v>
      </c>
      <c r="AD24" s="3" t="n">
        <v>4151</v>
      </c>
      <c r="AE24" s="3" t="n">
        <v>57</v>
      </c>
      <c r="AF24" s="3" t="n">
        <v>0</v>
      </c>
      <c r="AG24" s="3" t="n">
        <v>4</v>
      </c>
      <c r="AH24" s="3" t="n">
        <v>4.06897</v>
      </c>
      <c r="AI24" s="3" t="n">
        <v>82</v>
      </c>
      <c r="AJ24" s="2" t="n">
        <f aca="false">IF(V24="Optimal", 1, 0)</f>
        <v>0</v>
      </c>
      <c r="AK24" s="29" t="b">
        <f aca="false">IF(AJ24=1, W24-G24)</f>
        <v>0</v>
      </c>
      <c r="AL24" s="4" t="n">
        <f aca="false">IF(AND(AH24&lt;&gt;-1, G24&lt;&gt;"-", G24&lt;&gt;"."), ((G24-AH24)/G24)*100, -1)</f>
        <v>59.3103</v>
      </c>
      <c r="AN24" s="5" t="n">
        <f aca="false">IF(AND(AO24=C24, A24=AP24), 1, 0)</f>
        <v>1</v>
      </c>
      <c r="AO24" s="5" t="s">
        <v>74</v>
      </c>
      <c r="AP24" s="5" t="n">
        <v>5</v>
      </c>
      <c r="AQ24" s="5" t="n">
        <v>3600</v>
      </c>
      <c r="AR24" s="5" t="n">
        <v>118</v>
      </c>
      <c r="AS24" s="5" t="n">
        <v>576</v>
      </c>
      <c r="AT24" s="28" t="n">
        <v>2625.39</v>
      </c>
      <c r="AU24" s="28" t="s">
        <v>51</v>
      </c>
      <c r="AV24" s="28" t="n">
        <v>108</v>
      </c>
      <c r="AW24" s="28" t="n">
        <v>108</v>
      </c>
      <c r="AX24" s="28" t="n">
        <v>10</v>
      </c>
      <c r="AY24" s="28" t="n">
        <v>557</v>
      </c>
      <c r="AZ24" s="28" t="n">
        <v>2916</v>
      </c>
      <c r="BA24" s="28" t="n">
        <v>97879</v>
      </c>
      <c r="BB24" s="6" t="n">
        <f aca="false">IF(AU24="Optimal", 1, 0)</f>
        <v>1</v>
      </c>
    </row>
    <row r="25" customFormat="false" ht="12.8" hidden="false" customHeight="false" outlineLevel="0" collapsed="false">
      <c r="A25" s="1" t="n">
        <v>5</v>
      </c>
      <c r="B25" s="23" t="s">
        <v>67</v>
      </c>
      <c r="C25" s="24" t="s">
        <v>75</v>
      </c>
      <c r="D25" s="25" t="n">
        <v>62</v>
      </c>
      <c r="E25" s="25" t="n">
        <v>639</v>
      </c>
      <c r="F25" s="25" t="n">
        <v>8</v>
      </c>
      <c r="G25" s="25" t="n">
        <v>22</v>
      </c>
      <c r="H25" s="3" t="n">
        <v>1</v>
      </c>
      <c r="I25" s="25" t="n">
        <v>2.33</v>
      </c>
      <c r="J25" s="26" t="n">
        <f aca="false">IF(I25="tl", 0, 1)</f>
        <v>1</v>
      </c>
      <c r="K25" s="25" t="n">
        <v>180.84</v>
      </c>
      <c r="L25" s="26" t="n">
        <f aca="false">IF(K25="tl", 0, 1)</f>
        <v>1</v>
      </c>
      <c r="M25" s="25" t="s">
        <v>53</v>
      </c>
      <c r="N25" s="26" t="n">
        <f aca="false">IF(M25="tl", 0, 1)</f>
        <v>0</v>
      </c>
      <c r="P25" s="23" t="n">
        <v>0</v>
      </c>
      <c r="Q25" s="23"/>
      <c r="R25" s="2" t="n">
        <f aca="false">IF(S25=C25, 1, 0)</f>
        <v>1</v>
      </c>
      <c r="S25" s="27" t="s">
        <v>75</v>
      </c>
      <c r="T25" s="27" t="n">
        <v>62</v>
      </c>
      <c r="U25" s="27" t="n">
        <v>639</v>
      </c>
      <c r="V25" s="3" t="s">
        <v>54</v>
      </c>
      <c r="W25" s="3" t="n">
        <v>23</v>
      </c>
      <c r="X25" s="3" t="n">
        <v>6.34783</v>
      </c>
      <c r="Y25" s="3" t="n">
        <v>1800.26</v>
      </c>
      <c r="Z25" s="3" t="n">
        <v>1157.93</v>
      </c>
      <c r="AA25" s="3" t="n">
        <v>12770</v>
      </c>
      <c r="AB25" s="3" t="n">
        <v>197</v>
      </c>
      <c r="AC25" s="3" t="n">
        <v>2618</v>
      </c>
      <c r="AD25" s="3" t="n">
        <v>4536</v>
      </c>
      <c r="AE25" s="3" t="n">
        <v>4</v>
      </c>
      <c r="AF25" s="3" t="n">
        <v>0</v>
      </c>
      <c r="AG25" s="3" t="n">
        <v>22</v>
      </c>
      <c r="AH25" s="3" t="n">
        <v>4.13333</v>
      </c>
      <c r="AI25" s="3" t="n">
        <v>52</v>
      </c>
      <c r="AJ25" s="2" t="n">
        <f aca="false">IF(V25="Optimal", 1, 0)</f>
        <v>0</v>
      </c>
      <c r="AK25" s="29" t="b">
        <f aca="false">IF(AJ25=1, W25-G25)</f>
        <v>0</v>
      </c>
      <c r="AL25" s="4" t="n">
        <f aca="false">IF(AND(AH25&lt;&gt;-1, G25&lt;&gt;"-", G25&lt;&gt;"."), ((G25-AH25)/G25)*100, -1)</f>
        <v>81.2121363636364</v>
      </c>
      <c r="AN25" s="5" t="n">
        <f aca="false">IF(AND(AO25=C25, A25=AP25), 1, 0)</f>
        <v>1</v>
      </c>
      <c r="AO25" s="5" t="s">
        <v>75</v>
      </c>
      <c r="AP25" s="5" t="n">
        <v>5</v>
      </c>
      <c r="AQ25" s="5" t="n">
        <v>3600</v>
      </c>
      <c r="AR25" s="5" t="n">
        <v>62</v>
      </c>
      <c r="AS25" s="5" t="n">
        <v>639</v>
      </c>
      <c r="AT25" s="28" t="n">
        <v>578.878</v>
      </c>
      <c r="AU25" s="28" t="s">
        <v>51</v>
      </c>
      <c r="AV25" s="28" t="n">
        <v>40</v>
      </c>
      <c r="AW25" s="28" t="n">
        <v>40</v>
      </c>
      <c r="AX25" s="28" t="n">
        <v>22</v>
      </c>
      <c r="AY25" s="28" t="n">
        <v>274</v>
      </c>
      <c r="AZ25" s="28" t="n">
        <v>2761</v>
      </c>
      <c r="BA25" s="28" t="n">
        <v>27218</v>
      </c>
      <c r="BB25" s="6" t="n">
        <f aca="false">IF(AU25="Optimal", 1, 0)</f>
        <v>1</v>
      </c>
    </row>
    <row r="26" customFormat="false" ht="12.8" hidden="false" customHeight="false" outlineLevel="0" collapsed="false">
      <c r="A26" s="1" t="n">
        <v>5</v>
      </c>
      <c r="B26" s="23" t="s">
        <v>67</v>
      </c>
      <c r="C26" s="24" t="s">
        <v>76</v>
      </c>
      <c r="D26" s="25" t="n">
        <v>144</v>
      </c>
      <c r="E26" s="25" t="n">
        <v>1656</v>
      </c>
      <c r="F26" s="25" t="n">
        <v>12</v>
      </c>
      <c r="G26" s="25" t="s">
        <v>77</v>
      </c>
      <c r="H26" s="3" t="n">
        <v>0</v>
      </c>
      <c r="I26" s="25" t="s">
        <v>53</v>
      </c>
      <c r="J26" s="26" t="n">
        <f aca="false">IF(I26="tl", 0, 1)</f>
        <v>0</v>
      </c>
      <c r="K26" s="25" t="s">
        <v>53</v>
      </c>
      <c r="L26" s="26" t="n">
        <f aca="false">IF(K26="tl", 0, 1)</f>
        <v>0</v>
      </c>
      <c r="M26" s="25" t="s">
        <v>53</v>
      </c>
      <c r="N26" s="26" t="n">
        <f aca="false">IF(M26="tl", 0, 1)</f>
        <v>0</v>
      </c>
      <c r="P26" s="23" t="n">
        <v>0</v>
      </c>
      <c r="Q26" s="23"/>
      <c r="R26" s="2" t="n">
        <f aca="false">IF(S26=C26, 1, 0)</f>
        <v>1</v>
      </c>
      <c r="S26" s="27" t="s">
        <v>76</v>
      </c>
      <c r="T26" s="27" t="n">
        <v>144</v>
      </c>
      <c r="U26" s="27" t="n">
        <v>1656</v>
      </c>
      <c r="V26" s="3" t="s">
        <v>54</v>
      </c>
      <c r="W26" s="3" t="n">
        <v>130</v>
      </c>
      <c r="X26" s="3" t="n">
        <v>4.61538</v>
      </c>
      <c r="Y26" s="3" t="n">
        <v>1800</v>
      </c>
      <c r="Z26" s="3" t="n">
        <v>721.411</v>
      </c>
      <c r="AA26" s="3" t="n">
        <v>8053</v>
      </c>
      <c r="AB26" s="3" t="n">
        <v>4</v>
      </c>
      <c r="AC26" s="3" t="n">
        <v>6768</v>
      </c>
      <c r="AD26" s="3" t="n">
        <v>11737</v>
      </c>
      <c r="AE26" s="3" t="n">
        <v>12</v>
      </c>
      <c r="AF26" s="3" t="n">
        <v>0</v>
      </c>
      <c r="AG26" s="3" t="n">
        <v>2</v>
      </c>
      <c r="AH26" s="3" t="n">
        <v>4.05634</v>
      </c>
      <c r="AI26" s="3" t="n">
        <v>130</v>
      </c>
      <c r="AJ26" s="2" t="n">
        <f aca="false">IF(V26="Optimal", 1, 0)</f>
        <v>0</v>
      </c>
      <c r="AK26" s="29" t="b">
        <f aca="false">IF(AJ26=1, W26-G26)</f>
        <v>0</v>
      </c>
      <c r="AL26" s="4" t="n">
        <f aca="false">IF(AND(AH26&lt;&gt;-1, G26&lt;&gt;"-", G26&lt;&gt;"."), ((G26-AH26)/G26)*100, -1)</f>
        <v>-1</v>
      </c>
      <c r="AN26" s="5" t="n">
        <f aca="false">IF(AND(AO26=C26, A26=AP26), 1, 0)</f>
        <v>1</v>
      </c>
      <c r="AO26" s="5" t="s">
        <v>76</v>
      </c>
      <c r="AP26" s="5" t="n">
        <v>5</v>
      </c>
      <c r="AQ26" s="5" t="n">
        <v>3600</v>
      </c>
      <c r="AR26" s="5" t="n">
        <v>144</v>
      </c>
      <c r="AS26" s="5" t="n">
        <v>1656</v>
      </c>
      <c r="AT26" s="28" t="n">
        <v>3600</v>
      </c>
      <c r="AU26" s="28" t="s">
        <v>54</v>
      </c>
      <c r="AV26" s="28" t="n">
        <v>135.977</v>
      </c>
      <c r="AW26" s="28" t="n">
        <v>99</v>
      </c>
      <c r="AX26" s="28" t="n">
        <v>45</v>
      </c>
      <c r="AY26" s="28" t="n">
        <v>660</v>
      </c>
      <c r="AZ26" s="28" t="n">
        <v>9741</v>
      </c>
      <c r="BA26" s="28" t="n">
        <v>36004</v>
      </c>
      <c r="BB26" s="6" t="n">
        <f aca="false">IF(AU26="Optimal", 1, 0)</f>
        <v>0</v>
      </c>
    </row>
    <row r="27" customFormat="false" ht="12.8" hidden="false" customHeight="false" outlineLevel="0" collapsed="false">
      <c r="A27" s="1" t="n">
        <v>5</v>
      </c>
      <c r="B27" s="23" t="s">
        <v>67</v>
      </c>
      <c r="C27" s="24" t="s">
        <v>78</v>
      </c>
      <c r="D27" s="25" t="n">
        <v>61</v>
      </c>
      <c r="E27" s="25" t="n">
        <v>866</v>
      </c>
      <c r="F27" s="25" t="n">
        <v>6</v>
      </c>
      <c r="G27" s="25" t="n">
        <v>39</v>
      </c>
      <c r="H27" s="3" t="n">
        <v>1</v>
      </c>
      <c r="I27" s="25" t="n">
        <v>0.97</v>
      </c>
      <c r="J27" s="26" t="n">
        <f aca="false">IF(I27="tl", 0, 1)</f>
        <v>1</v>
      </c>
      <c r="K27" s="25" t="n">
        <v>4.68</v>
      </c>
      <c r="L27" s="26" t="n">
        <f aca="false">IF(K27="tl", 0, 1)</f>
        <v>1</v>
      </c>
      <c r="M27" s="25" t="n">
        <v>2.11</v>
      </c>
      <c r="N27" s="26" t="n">
        <f aca="false">IF(M27="tl", 0, 1)</f>
        <v>1</v>
      </c>
      <c r="P27" s="23" t="n">
        <v>11</v>
      </c>
      <c r="Q27" s="23"/>
      <c r="R27" s="2" t="n">
        <f aca="false">IF(S27=C27, 1, 0)</f>
        <v>1</v>
      </c>
      <c r="S27" s="27" t="s">
        <v>78</v>
      </c>
      <c r="T27" s="27" t="n">
        <v>61</v>
      </c>
      <c r="U27" s="27" t="n">
        <v>866</v>
      </c>
      <c r="V27" s="3" t="s">
        <v>54</v>
      </c>
      <c r="W27" s="30" t="n">
        <v>1E+020</v>
      </c>
      <c r="X27" s="3" t="n">
        <v>5.13793</v>
      </c>
      <c r="Y27" s="3" t="n">
        <v>1800.01</v>
      </c>
      <c r="Z27" s="3" t="n">
        <v>83.3163</v>
      </c>
      <c r="AA27" s="3" t="n">
        <v>9874</v>
      </c>
      <c r="AB27" s="3" t="n">
        <v>31</v>
      </c>
      <c r="AC27" s="3" t="n">
        <v>3525</v>
      </c>
      <c r="AD27" s="3" t="n">
        <v>6124</v>
      </c>
      <c r="AE27" s="3" t="n">
        <v>7</v>
      </c>
      <c r="AF27" s="3" t="n">
        <v>0</v>
      </c>
      <c r="AG27" s="3" t="n">
        <v>25</v>
      </c>
      <c r="AH27" s="3" t="n">
        <v>4.13559</v>
      </c>
      <c r="AI27" s="30" t="n">
        <v>1E+020</v>
      </c>
      <c r="AJ27" s="2" t="n">
        <f aca="false">IF(V27="Optimal", 1, 0)</f>
        <v>0</v>
      </c>
      <c r="AK27" s="29" t="b">
        <f aca="false">IF(AJ27=1, W27-G27)</f>
        <v>0</v>
      </c>
      <c r="AL27" s="4" t="n">
        <f aca="false">IF(AND(AH27&lt;&gt;-1, G27&lt;&gt;"-", G27&lt;&gt;"."), ((G27-AH27)/G27)*100, -1)</f>
        <v>89.3959230769231</v>
      </c>
      <c r="AN27" s="5" t="n">
        <f aca="false">IF(AND(AO27=C27, A27=AP27), 1, 0)</f>
        <v>1</v>
      </c>
      <c r="AO27" s="5" t="s">
        <v>78</v>
      </c>
      <c r="AP27" s="5" t="n">
        <v>5</v>
      </c>
      <c r="AQ27" s="5" t="n">
        <v>3600</v>
      </c>
      <c r="AR27" s="5" t="n">
        <v>61</v>
      </c>
      <c r="AS27" s="5" t="n">
        <v>866</v>
      </c>
      <c r="AT27" s="28" t="n">
        <v>229.548</v>
      </c>
      <c r="AU27" s="28" t="s">
        <v>51</v>
      </c>
      <c r="AV27" s="28" t="n">
        <v>22</v>
      </c>
      <c r="AW27" s="28" t="n">
        <v>22</v>
      </c>
      <c r="AX27" s="28" t="n">
        <v>39</v>
      </c>
      <c r="AY27" s="28" t="n">
        <v>295</v>
      </c>
      <c r="AZ27" s="28" t="n">
        <v>2241</v>
      </c>
      <c r="BA27" s="28" t="n">
        <v>6513</v>
      </c>
      <c r="BB27" s="6" t="n">
        <f aca="false">IF(AU27="Optimal", 1, 0)</f>
        <v>1</v>
      </c>
    </row>
    <row r="28" customFormat="false" ht="12.8" hidden="false" customHeight="false" outlineLevel="0" collapsed="false">
      <c r="A28" s="1" t="n">
        <v>5</v>
      </c>
      <c r="B28" s="23" t="s">
        <v>67</v>
      </c>
      <c r="C28" s="24" t="s">
        <v>79</v>
      </c>
      <c r="D28" s="25" t="n">
        <v>62</v>
      </c>
      <c r="E28" s="25" t="n">
        <v>210</v>
      </c>
      <c r="F28" s="25" t="n">
        <v>18</v>
      </c>
      <c r="G28" s="25" t="n">
        <v>7</v>
      </c>
      <c r="H28" s="3" t="n">
        <v>1</v>
      </c>
      <c r="I28" s="25" t="n">
        <v>11.61</v>
      </c>
      <c r="J28" s="26" t="n">
        <f aca="false">IF(I28="tl", 0, 1)</f>
        <v>1</v>
      </c>
      <c r="K28" s="25" t="n">
        <v>17.87</v>
      </c>
      <c r="L28" s="26" t="n">
        <f aca="false">IF(K28="tl", 0, 1)</f>
        <v>1</v>
      </c>
      <c r="M28" s="25" t="n">
        <v>13.49</v>
      </c>
      <c r="N28" s="26" t="n">
        <f aca="false">IF(M28="tl", 0, 1)</f>
        <v>1</v>
      </c>
      <c r="P28" s="23" t="n">
        <v>0</v>
      </c>
      <c r="Q28" s="23"/>
      <c r="R28" s="2" t="n">
        <f aca="false">IF(S28=C28, 1, 0)</f>
        <v>1</v>
      </c>
      <c r="S28" s="27" t="s">
        <v>79</v>
      </c>
      <c r="T28" s="27" t="n">
        <v>62</v>
      </c>
      <c r="U28" s="27" t="n">
        <v>210</v>
      </c>
      <c r="V28" s="3" t="s">
        <v>51</v>
      </c>
      <c r="W28" s="3" t="n">
        <v>7</v>
      </c>
      <c r="X28" s="3" t="n">
        <v>7</v>
      </c>
      <c r="Y28" s="3" t="n">
        <v>47.5491</v>
      </c>
      <c r="Z28" s="3" t="n">
        <v>33.4011</v>
      </c>
      <c r="AA28" s="3" t="n">
        <v>1960</v>
      </c>
      <c r="AB28" s="3" t="n">
        <v>41</v>
      </c>
      <c r="AC28" s="3" t="n">
        <v>902</v>
      </c>
      <c r="AD28" s="3" t="n">
        <v>1533</v>
      </c>
      <c r="AE28" s="3" t="n">
        <v>22</v>
      </c>
      <c r="AF28" s="3" t="n">
        <v>0</v>
      </c>
      <c r="AG28" s="3" t="n">
        <v>8</v>
      </c>
      <c r="AH28" s="3" t="n">
        <v>4.13333</v>
      </c>
      <c r="AI28" s="3" t="n">
        <v>35</v>
      </c>
      <c r="AJ28" s="2" t="n">
        <f aca="false">IF(V28="Optimal", 1, 0)</f>
        <v>1</v>
      </c>
      <c r="AK28" s="3" t="n">
        <f aca="false">IF(AJ28=1, W28-G28)</f>
        <v>0</v>
      </c>
      <c r="AL28" s="4" t="n">
        <f aca="false">IF(AND(AH28&lt;&gt;-1, G28&lt;&gt;"-", G28&lt;&gt;"."), ((G28-AH28)/G28)*100, -1)</f>
        <v>40.9524285714286</v>
      </c>
      <c r="AN28" s="5" t="n">
        <f aca="false">IF(AND(AO28=C28, A28=AP28), 1, 0)</f>
        <v>1</v>
      </c>
      <c r="AO28" s="5" t="s">
        <v>79</v>
      </c>
      <c r="AP28" s="5" t="n">
        <v>5</v>
      </c>
      <c r="AQ28" s="5" t="n">
        <v>3600</v>
      </c>
      <c r="AR28" s="5" t="n">
        <v>62</v>
      </c>
      <c r="AS28" s="5" t="n">
        <v>210</v>
      </c>
      <c r="AT28" s="28" t="n">
        <v>66.9171</v>
      </c>
      <c r="AU28" s="28" t="s">
        <v>51</v>
      </c>
      <c r="AV28" s="28" t="n">
        <v>55</v>
      </c>
      <c r="AW28" s="28" t="n">
        <v>55</v>
      </c>
      <c r="AX28" s="28" t="n">
        <v>7</v>
      </c>
      <c r="AY28" s="28" t="n">
        <v>300</v>
      </c>
      <c r="AZ28" s="28" t="n">
        <v>1067</v>
      </c>
      <c r="BA28" s="28" t="n">
        <v>2418</v>
      </c>
      <c r="BB28" s="6" t="n">
        <f aca="false">IF(AU28="Optimal", 1, 0)</f>
        <v>1</v>
      </c>
    </row>
    <row r="29" customFormat="false" ht="12.8" hidden="false" customHeight="false" outlineLevel="0" collapsed="false">
      <c r="A29" s="1" t="n">
        <v>5</v>
      </c>
      <c r="B29" s="23" t="s">
        <v>67</v>
      </c>
      <c r="C29" s="24" t="s">
        <v>80</v>
      </c>
      <c r="D29" s="25" t="n">
        <v>73</v>
      </c>
      <c r="E29" s="25" t="n">
        <v>652</v>
      </c>
      <c r="F29" s="25" t="n">
        <v>13</v>
      </c>
      <c r="G29" s="25" t="n">
        <v>28</v>
      </c>
      <c r="H29" s="3" t="n">
        <v>1</v>
      </c>
      <c r="I29" s="25" t="n">
        <v>160.08</v>
      </c>
      <c r="J29" s="26" t="n">
        <f aca="false">IF(I29="tl", 0, 1)</f>
        <v>1</v>
      </c>
      <c r="K29" s="25" t="s">
        <v>53</v>
      </c>
      <c r="L29" s="26" t="n">
        <f aca="false">IF(K29="tl", 0, 1)</f>
        <v>0</v>
      </c>
      <c r="M29" s="25" t="s">
        <v>53</v>
      </c>
      <c r="N29" s="26" t="n">
        <f aca="false">IF(M29="tl", 0, 1)</f>
        <v>0</v>
      </c>
      <c r="P29" s="23" t="n">
        <v>0</v>
      </c>
      <c r="Q29" s="23"/>
      <c r="R29" s="2" t="n">
        <f aca="false">IF(S29=C29, 1, 0)</f>
        <v>1</v>
      </c>
      <c r="S29" s="27" t="s">
        <v>80</v>
      </c>
      <c r="T29" s="27" t="n">
        <v>73</v>
      </c>
      <c r="U29" s="27" t="n">
        <v>652</v>
      </c>
      <c r="V29" s="3" t="s">
        <v>54</v>
      </c>
      <c r="W29" s="3" t="n">
        <v>55</v>
      </c>
      <c r="X29" s="3" t="n">
        <v>6.63265</v>
      </c>
      <c r="Y29" s="3" t="n">
        <v>1800.08</v>
      </c>
      <c r="Z29" s="3" t="n">
        <v>1263.45</v>
      </c>
      <c r="AA29" s="3" t="n">
        <v>14259</v>
      </c>
      <c r="AB29" s="3" t="n">
        <v>73</v>
      </c>
      <c r="AC29" s="3" t="n">
        <v>2681</v>
      </c>
      <c r="AD29" s="3" t="n">
        <v>4638</v>
      </c>
      <c r="AE29" s="3" t="n">
        <v>2</v>
      </c>
      <c r="AF29" s="3" t="n">
        <v>0</v>
      </c>
      <c r="AG29" s="3" t="n">
        <v>28</v>
      </c>
      <c r="AH29" s="3" t="n">
        <v>4.11268</v>
      </c>
      <c r="AI29" s="3" t="n">
        <v>56</v>
      </c>
      <c r="AJ29" s="2" t="n">
        <f aca="false">IF(V29="Optimal", 1, 0)</f>
        <v>0</v>
      </c>
      <c r="AK29" s="29" t="b">
        <f aca="false">IF(AJ29=1, W29-G29)</f>
        <v>0</v>
      </c>
      <c r="AL29" s="4" t="n">
        <f aca="false">IF(AND(AH29&lt;&gt;-1, G29&lt;&gt;"-", G29&lt;&gt;"."), ((G29-AH29)/G29)*100, -1)</f>
        <v>85.3118571428571</v>
      </c>
      <c r="AN29" s="5" t="n">
        <f aca="false">IF(AND(AO29=C29, A29=AP29), 1, 0)</f>
        <v>1</v>
      </c>
      <c r="AO29" s="5" t="s">
        <v>80</v>
      </c>
      <c r="AP29" s="5" t="n">
        <v>5</v>
      </c>
      <c r="AQ29" s="5" t="n">
        <v>3600</v>
      </c>
      <c r="AR29" s="5" t="n">
        <v>73</v>
      </c>
      <c r="AS29" s="5" t="n">
        <v>652</v>
      </c>
      <c r="AT29" s="28" t="n">
        <v>3600</v>
      </c>
      <c r="AU29" s="28" t="s">
        <v>54</v>
      </c>
      <c r="AV29" s="28" t="n">
        <v>54.0295</v>
      </c>
      <c r="AW29" s="28" t="n">
        <v>45</v>
      </c>
      <c r="AX29" s="28" t="n">
        <v>28</v>
      </c>
      <c r="AY29" s="28" t="n">
        <v>334</v>
      </c>
      <c r="AZ29" s="28" t="n">
        <v>5832</v>
      </c>
      <c r="BA29" s="28" t="n">
        <v>205609</v>
      </c>
      <c r="BB29" s="6" t="n">
        <f aca="false">IF(AU29="Optimal", 1, 0)</f>
        <v>0</v>
      </c>
    </row>
    <row r="30" customFormat="false" ht="12.8" hidden="false" customHeight="false" outlineLevel="0" collapsed="false">
      <c r="A30" s="1" t="n">
        <v>5</v>
      </c>
      <c r="B30" s="23" t="s">
        <v>67</v>
      </c>
      <c r="C30" s="24" t="s">
        <v>81</v>
      </c>
      <c r="D30" s="25" t="n">
        <v>96</v>
      </c>
      <c r="E30" s="25" t="n">
        <v>912</v>
      </c>
      <c r="F30" s="25" t="n">
        <v>10</v>
      </c>
      <c r="G30" s="25" t="s">
        <v>77</v>
      </c>
      <c r="H30" s="3" t="n">
        <v>0</v>
      </c>
      <c r="I30" s="25" t="s">
        <v>53</v>
      </c>
      <c r="J30" s="26" t="n">
        <f aca="false">IF(I30="tl", 0, 1)</f>
        <v>0</v>
      </c>
      <c r="K30" s="25" t="s">
        <v>53</v>
      </c>
      <c r="L30" s="26" t="n">
        <f aca="false">IF(K30="tl", 0, 1)</f>
        <v>0</v>
      </c>
      <c r="M30" s="25" t="s">
        <v>53</v>
      </c>
      <c r="N30" s="26" t="n">
        <f aca="false">IF(M30="tl", 0, 1)</f>
        <v>0</v>
      </c>
      <c r="P30" s="23" t="n">
        <v>0</v>
      </c>
      <c r="Q30" s="23"/>
      <c r="R30" s="2" t="n">
        <f aca="false">IF(S30=C30, 1, 0)</f>
        <v>1</v>
      </c>
      <c r="S30" s="27" t="s">
        <v>81</v>
      </c>
      <c r="T30" s="27" t="n">
        <v>96</v>
      </c>
      <c r="U30" s="27" t="n">
        <v>912</v>
      </c>
      <c r="V30" s="3" t="s">
        <v>54</v>
      </c>
      <c r="W30" s="3" t="n">
        <v>79</v>
      </c>
      <c r="X30" s="3" t="n">
        <v>5.23944</v>
      </c>
      <c r="Y30" s="3" t="n">
        <v>1800</v>
      </c>
      <c r="Z30" s="3" t="n">
        <v>345.342</v>
      </c>
      <c r="AA30" s="3" t="n">
        <v>10467</v>
      </c>
      <c r="AB30" s="3" t="n">
        <v>6</v>
      </c>
      <c r="AC30" s="3" t="n">
        <v>3744</v>
      </c>
      <c r="AD30" s="3" t="n">
        <v>6481</v>
      </c>
      <c r="AE30" s="3" t="n">
        <v>16</v>
      </c>
      <c r="AF30" s="3" t="n">
        <v>0</v>
      </c>
      <c r="AG30" s="3" t="n">
        <v>3</v>
      </c>
      <c r="AH30" s="3" t="n">
        <v>4.08511</v>
      </c>
      <c r="AI30" s="3" t="n">
        <v>79</v>
      </c>
      <c r="AJ30" s="2" t="n">
        <f aca="false">IF(V30="Optimal", 1, 0)</f>
        <v>0</v>
      </c>
      <c r="AK30" s="29" t="b">
        <f aca="false">IF(AJ30=1, W30-G30)</f>
        <v>0</v>
      </c>
      <c r="AL30" s="4" t="n">
        <f aca="false">IF(AND(AH30&lt;&gt;-1, G30&lt;&gt;"-", G30&lt;&gt;"."), ((G30-AH30)/G30)*100, -1)</f>
        <v>-1</v>
      </c>
      <c r="AN30" s="5" t="n">
        <f aca="false">IF(AND(AO30=C30, A30=AP30), 1, 0)</f>
        <v>1</v>
      </c>
      <c r="AO30" s="5" t="s">
        <v>81</v>
      </c>
      <c r="AP30" s="5" t="n">
        <v>5</v>
      </c>
      <c r="AQ30" s="5" t="n">
        <v>3600</v>
      </c>
      <c r="AR30" s="5" t="n">
        <v>96</v>
      </c>
      <c r="AS30" s="5" t="n">
        <v>912</v>
      </c>
      <c r="AT30" s="28" t="n">
        <v>3600</v>
      </c>
      <c r="AU30" s="28" t="s">
        <v>54</v>
      </c>
      <c r="AV30" s="28" t="n">
        <v>84.8875</v>
      </c>
      <c r="AW30" s="28" t="n">
        <v>58</v>
      </c>
      <c r="AX30" s="28" t="n">
        <v>38</v>
      </c>
      <c r="AY30" s="28" t="n">
        <v>450</v>
      </c>
      <c r="AZ30" s="28" t="n">
        <v>7693</v>
      </c>
      <c r="BA30" s="28" t="n">
        <v>65685</v>
      </c>
      <c r="BB30" s="6" t="n">
        <f aca="false">IF(AU30="Optimal", 1, 0)</f>
        <v>0</v>
      </c>
    </row>
    <row r="31" customFormat="false" ht="12.8" hidden="false" customHeight="false" outlineLevel="0" collapsed="false">
      <c r="A31" s="1" t="n">
        <v>5</v>
      </c>
      <c r="B31" s="23" t="s">
        <v>64</v>
      </c>
      <c r="C31" s="24" t="s">
        <v>82</v>
      </c>
      <c r="D31" s="25" t="n">
        <v>297</v>
      </c>
      <c r="E31" s="25" t="n">
        <v>2148</v>
      </c>
      <c r="F31" s="25" t="n">
        <v>110</v>
      </c>
      <c r="G31" s="25" t="n">
        <v>1</v>
      </c>
      <c r="H31" s="3" t="n">
        <v>1</v>
      </c>
      <c r="I31" s="26" t="n">
        <v>3.96</v>
      </c>
      <c r="J31" s="26" t="n">
        <f aca="false">IF(I31="tl", 0, 1)</f>
        <v>1</v>
      </c>
      <c r="K31" s="26" t="s">
        <v>53</v>
      </c>
      <c r="L31" s="26" t="n">
        <f aca="false">IF(K31="tl", 0, 1)</f>
        <v>0</v>
      </c>
      <c r="M31" s="26" t="n">
        <v>0.02</v>
      </c>
      <c r="N31" s="26" t="n">
        <f aca="false">IF(M31="tl", 0, 1)</f>
        <v>1</v>
      </c>
      <c r="P31" s="23" t="n">
        <v>0</v>
      </c>
      <c r="Q31" s="23"/>
      <c r="R31" s="2" t="n">
        <f aca="false">IF(S31=C31, 1, 0)</f>
        <v>1</v>
      </c>
      <c r="S31" s="27" t="s">
        <v>82</v>
      </c>
      <c r="T31" s="27" t="n">
        <v>297</v>
      </c>
      <c r="U31" s="27" t="n">
        <v>2148</v>
      </c>
      <c r="V31" s="3" t="s">
        <v>54</v>
      </c>
      <c r="W31" s="30" t="n">
        <v>1E+020</v>
      </c>
      <c r="X31" s="3" t="n">
        <v>1</v>
      </c>
      <c r="Y31" s="3" t="n">
        <v>1800.24</v>
      </c>
      <c r="Z31" s="3" t="n">
        <v>59.6582</v>
      </c>
      <c r="AA31" s="3" t="n">
        <v>6063</v>
      </c>
      <c r="AB31" s="3" t="n">
        <v>1</v>
      </c>
      <c r="AC31" s="3" t="n">
        <v>8889</v>
      </c>
      <c r="AD31" s="3" t="n">
        <v>15334</v>
      </c>
      <c r="AE31" s="3" t="n">
        <v>3618</v>
      </c>
      <c r="AF31" s="3" t="n">
        <v>0</v>
      </c>
      <c r="AG31" s="3" t="n">
        <v>0</v>
      </c>
      <c r="AH31" s="3" t="n">
        <v>-1</v>
      </c>
      <c r="AI31" s="3" t="n">
        <v>-1</v>
      </c>
      <c r="AJ31" s="2" t="n">
        <f aca="false">IF(V31="Optimal", 1, 0)</f>
        <v>0</v>
      </c>
      <c r="AK31" s="29" t="b">
        <f aca="false">IF(AJ31=1, W31-G31)</f>
        <v>0</v>
      </c>
      <c r="AL31" s="4" t="n">
        <f aca="false">IF(AND(AH31&lt;&gt;-1, G31&lt;&gt;"-", G31&lt;&gt;"."), ((G31-AH31)/G31)*100, -1)</f>
        <v>-1</v>
      </c>
      <c r="AN31" s="5" t="n">
        <f aca="false">IF(AND(AO31=C31, A31=AP31), 1, 0)</f>
        <v>1</v>
      </c>
      <c r="AO31" s="5" t="s">
        <v>82</v>
      </c>
      <c r="AP31" s="5" t="n">
        <v>5</v>
      </c>
      <c r="AQ31" s="5" t="n">
        <v>3600</v>
      </c>
      <c r="AR31" s="5" t="n">
        <v>297</v>
      </c>
      <c r="AS31" s="5" t="n">
        <v>2148</v>
      </c>
      <c r="AT31" s="28" t="n">
        <v>44.4032</v>
      </c>
      <c r="AU31" s="28" t="s">
        <v>51</v>
      </c>
      <c r="AV31" s="28" t="n">
        <v>296</v>
      </c>
      <c r="AW31" s="28" t="n">
        <v>296</v>
      </c>
      <c r="AX31" s="28" t="n">
        <v>1</v>
      </c>
      <c r="AY31" s="28" t="n">
        <v>1485</v>
      </c>
      <c r="AZ31" s="28" t="n">
        <v>11051</v>
      </c>
      <c r="BA31" s="28" t="n">
        <v>3</v>
      </c>
      <c r="BB31" s="6" t="n">
        <f aca="false">IF(AU31="Optimal", 1, 0)</f>
        <v>1</v>
      </c>
    </row>
    <row r="32" customFormat="false" ht="12.8" hidden="false" customHeight="false" outlineLevel="0" collapsed="false">
      <c r="A32" s="1" t="n">
        <v>5</v>
      </c>
      <c r="B32" s="23" t="s">
        <v>64</v>
      </c>
      <c r="C32" s="24" t="s">
        <v>83</v>
      </c>
      <c r="D32" s="25" t="n">
        <v>39</v>
      </c>
      <c r="E32" s="25" t="n">
        <v>170</v>
      </c>
      <c r="F32" s="25" t="n">
        <v>17</v>
      </c>
      <c r="G32" s="25" t="n">
        <v>7</v>
      </c>
      <c r="H32" s="3" t="n">
        <v>1</v>
      </c>
      <c r="I32" s="26" t="n">
        <v>0.39</v>
      </c>
      <c r="J32" s="26" t="n">
        <f aca="false">IF(I32="tl", 0, 1)</f>
        <v>1</v>
      </c>
      <c r="K32" s="26" t="n">
        <v>0.62</v>
      </c>
      <c r="L32" s="26" t="n">
        <f aca="false">IF(K32="tl", 0, 1)</f>
        <v>1</v>
      </c>
      <c r="M32" s="26" t="n">
        <v>0.17</v>
      </c>
      <c r="N32" s="26" t="n">
        <f aca="false">IF(M32="tl", 0, 1)</f>
        <v>1</v>
      </c>
      <c r="P32" s="23" t="n">
        <v>1</v>
      </c>
      <c r="Q32" s="23"/>
      <c r="R32" s="2" t="n">
        <f aca="false">IF(S32=C32, 1, 0)</f>
        <v>1</v>
      </c>
      <c r="S32" s="27" t="s">
        <v>83</v>
      </c>
      <c r="T32" s="27" t="n">
        <v>39</v>
      </c>
      <c r="U32" s="27" t="n">
        <v>170</v>
      </c>
      <c r="V32" s="3" t="s">
        <v>51</v>
      </c>
      <c r="W32" s="3" t="n">
        <v>7</v>
      </c>
      <c r="X32" s="3" t="n">
        <v>7</v>
      </c>
      <c r="Y32" s="3" t="n">
        <v>1.75064</v>
      </c>
      <c r="Z32" s="3" t="n">
        <v>0.787946</v>
      </c>
      <c r="AA32" s="3" t="n">
        <v>296</v>
      </c>
      <c r="AB32" s="3" t="n">
        <v>9</v>
      </c>
      <c r="AC32" s="3" t="n">
        <v>719</v>
      </c>
      <c r="AD32" s="3" t="n">
        <v>1230</v>
      </c>
      <c r="AE32" s="3" t="n">
        <v>2</v>
      </c>
      <c r="AF32" s="3" t="n">
        <v>0</v>
      </c>
      <c r="AG32" s="3" t="n">
        <v>6</v>
      </c>
      <c r="AH32" s="3" t="n">
        <v>4.21622</v>
      </c>
      <c r="AI32" s="3" t="n">
        <v>20</v>
      </c>
      <c r="AJ32" s="2" t="n">
        <f aca="false">IF(V32="Optimal", 1, 0)</f>
        <v>1</v>
      </c>
      <c r="AK32" s="3" t="n">
        <f aca="false">IF(AJ32=1, W32-G32)</f>
        <v>0</v>
      </c>
      <c r="AL32" s="4" t="n">
        <f aca="false">IF(AND(AH32&lt;&gt;-1, G32&lt;&gt;"-", G32&lt;&gt;"."), ((G32-AH32)/G32)*100, -1)</f>
        <v>39.7682857142857</v>
      </c>
      <c r="AN32" s="5" t="n">
        <f aca="false">IF(AND(AO32=C32, A32=AP32), 1, 0)</f>
        <v>1</v>
      </c>
      <c r="AO32" s="5" t="s">
        <v>83</v>
      </c>
      <c r="AP32" s="5" t="n">
        <v>5</v>
      </c>
      <c r="AQ32" s="5" t="n">
        <v>3600</v>
      </c>
      <c r="AR32" s="5" t="n">
        <v>39</v>
      </c>
      <c r="AS32" s="5" t="n">
        <v>170</v>
      </c>
      <c r="AT32" s="28" t="n">
        <v>8.57636</v>
      </c>
      <c r="AU32" s="28" t="s">
        <v>51</v>
      </c>
      <c r="AV32" s="28" t="n">
        <v>32</v>
      </c>
      <c r="AW32" s="28" t="n">
        <v>32</v>
      </c>
      <c r="AX32" s="28" t="n">
        <v>7</v>
      </c>
      <c r="AY32" s="28" t="n">
        <v>185</v>
      </c>
      <c r="AZ32" s="28" t="n">
        <v>421</v>
      </c>
      <c r="BA32" s="28" t="n">
        <v>30</v>
      </c>
      <c r="BB32" s="6" t="n">
        <f aca="false">IF(AU32="Optimal", 1, 0)</f>
        <v>1</v>
      </c>
    </row>
    <row r="33" customFormat="false" ht="12.8" hidden="false" customHeight="false" outlineLevel="0" collapsed="false">
      <c r="A33" s="1" t="n">
        <v>5</v>
      </c>
      <c r="B33" s="23" t="s">
        <v>67</v>
      </c>
      <c r="C33" s="24" t="s">
        <v>84</v>
      </c>
      <c r="D33" s="25" t="n">
        <v>54</v>
      </c>
      <c r="E33" s="25" t="n">
        <v>337</v>
      </c>
      <c r="F33" s="25" t="n">
        <v>9</v>
      </c>
      <c r="G33" s="25" t="n">
        <v>16</v>
      </c>
      <c r="H33" s="3" t="n">
        <v>1</v>
      </c>
      <c r="I33" s="25" t="n">
        <v>9.67</v>
      </c>
      <c r="J33" s="26" t="n">
        <f aca="false">IF(I33="tl", 0, 1)</f>
        <v>1</v>
      </c>
      <c r="K33" s="25" t="n">
        <v>39.62</v>
      </c>
      <c r="L33" s="26" t="n">
        <f aca="false">IF(K33="tl", 0, 1)</f>
        <v>1</v>
      </c>
      <c r="M33" s="25" t="n">
        <v>1812.3</v>
      </c>
      <c r="N33" s="26" t="n">
        <f aca="false">IF(M33="tl", 0, 1)</f>
        <v>1</v>
      </c>
      <c r="P33" s="23" t="n">
        <v>0</v>
      </c>
      <c r="Q33" s="23"/>
      <c r="R33" s="2" t="n">
        <f aca="false">IF(S33=C33, 1, 0)</f>
        <v>1</v>
      </c>
      <c r="S33" s="27" t="s">
        <v>84</v>
      </c>
      <c r="T33" s="27" t="n">
        <v>54</v>
      </c>
      <c r="U33" s="27" t="n">
        <v>337</v>
      </c>
      <c r="V33" s="3" t="s">
        <v>54</v>
      </c>
      <c r="W33" s="30" t="n">
        <v>18</v>
      </c>
      <c r="X33" s="30" t="n">
        <v>8.09091</v>
      </c>
      <c r="Y33" s="3" t="n">
        <v>1800.15</v>
      </c>
      <c r="Z33" s="3" t="n">
        <v>1448.81</v>
      </c>
      <c r="AA33" s="3" t="n">
        <v>16396</v>
      </c>
      <c r="AB33" s="3" t="n">
        <v>378</v>
      </c>
      <c r="AC33" s="3" t="n">
        <v>1402</v>
      </c>
      <c r="AD33" s="3" t="n">
        <v>2414</v>
      </c>
      <c r="AE33" s="3" t="n">
        <v>13</v>
      </c>
      <c r="AF33" s="3" t="n">
        <v>0</v>
      </c>
      <c r="AG33" s="3" t="n">
        <v>20</v>
      </c>
      <c r="AH33" s="3" t="n">
        <v>4.15385</v>
      </c>
      <c r="AI33" s="3" t="n">
        <v>39</v>
      </c>
      <c r="AJ33" s="2" t="n">
        <f aca="false">IF(V33="Optimal", 1, 0)</f>
        <v>0</v>
      </c>
      <c r="AK33" s="29" t="b">
        <f aca="false">IF(AJ33=1, W33-G33)</f>
        <v>0</v>
      </c>
      <c r="AL33" s="4" t="n">
        <f aca="false">IF(AND(AH33&lt;&gt;-1, G33&lt;&gt;"-", G33&lt;&gt;"."), ((G33-AH33)/G33)*100, -1)</f>
        <v>74.0384375</v>
      </c>
      <c r="AN33" s="5" t="n">
        <f aca="false">IF(AND(AO33=C33, A33=AP33), 1, 0)</f>
        <v>1</v>
      </c>
      <c r="AO33" s="5" t="s">
        <v>84</v>
      </c>
      <c r="AP33" s="5" t="n">
        <v>5</v>
      </c>
      <c r="AQ33" s="5" t="n">
        <v>3600</v>
      </c>
      <c r="AR33" s="5" t="n">
        <v>54</v>
      </c>
      <c r="AS33" s="5" t="n">
        <v>337</v>
      </c>
      <c r="AT33" s="28" t="n">
        <v>158.044</v>
      </c>
      <c r="AU33" s="28" t="s">
        <v>51</v>
      </c>
      <c r="AV33" s="28" t="n">
        <v>38</v>
      </c>
      <c r="AW33" s="28" t="n">
        <v>38</v>
      </c>
      <c r="AX33" s="28" t="n">
        <v>16</v>
      </c>
      <c r="AY33" s="28" t="n">
        <v>253</v>
      </c>
      <c r="AZ33" s="28" t="n">
        <v>1664</v>
      </c>
      <c r="BA33" s="28" t="n">
        <v>11182</v>
      </c>
      <c r="BB33" s="6" t="n">
        <f aca="false">IF(AU33="Optimal", 1, 0)</f>
        <v>1</v>
      </c>
    </row>
    <row r="34" customFormat="false" ht="12.8" hidden="false" customHeight="false" outlineLevel="0" collapsed="false">
      <c r="A34" s="1" t="n">
        <v>5</v>
      </c>
      <c r="B34" s="23" t="s">
        <v>49</v>
      </c>
      <c r="C34" s="24" t="s">
        <v>85</v>
      </c>
      <c r="D34" s="25" t="n">
        <v>87</v>
      </c>
      <c r="E34" s="25" t="n">
        <v>406</v>
      </c>
      <c r="F34" s="25" t="n">
        <v>36</v>
      </c>
      <c r="G34" s="25" t="s">
        <v>86</v>
      </c>
      <c r="H34" s="3" t="n">
        <v>1</v>
      </c>
      <c r="I34" s="25" t="s">
        <v>86</v>
      </c>
      <c r="J34" s="26" t="n">
        <f aca="false">IF(I34="tl", 0, 1)</f>
        <v>1</v>
      </c>
      <c r="K34" s="25" t="s">
        <v>86</v>
      </c>
      <c r="L34" s="26" t="n">
        <f aca="false">IF(K34="tl", 0, 1)</f>
        <v>1</v>
      </c>
      <c r="M34" s="25" t="s">
        <v>86</v>
      </c>
      <c r="N34" s="26" t="n">
        <f aca="false">IF(M34="tl", 0, 1)</f>
        <v>1</v>
      </c>
      <c r="P34" s="23" t="n">
        <v>1</v>
      </c>
      <c r="Q34" s="23"/>
      <c r="R34" s="2" t="n">
        <f aca="false">IF(S34=C34, 1, 0)</f>
        <v>1</v>
      </c>
      <c r="S34" s="27" t="s">
        <v>85</v>
      </c>
      <c r="T34" s="27" t="n">
        <v>87</v>
      </c>
      <c r="U34" s="27" t="n">
        <v>406</v>
      </c>
      <c r="V34" s="3" t="s">
        <v>51</v>
      </c>
      <c r="W34" s="30" t="n">
        <v>1</v>
      </c>
      <c r="X34" s="3" t="n">
        <v>1</v>
      </c>
      <c r="Y34" s="3" t="n">
        <v>3.1297</v>
      </c>
      <c r="Z34" s="3" t="n">
        <v>0.908204</v>
      </c>
      <c r="AA34" s="3" t="n">
        <v>709</v>
      </c>
      <c r="AB34" s="3" t="n">
        <v>1</v>
      </c>
      <c r="AC34" s="3" t="n">
        <v>1711</v>
      </c>
      <c r="AD34" s="3" t="n">
        <v>2930</v>
      </c>
      <c r="AE34" s="3" t="n">
        <v>216</v>
      </c>
      <c r="AF34" s="3" t="n">
        <v>0</v>
      </c>
      <c r="AG34" s="3" t="n">
        <v>0</v>
      </c>
      <c r="AH34" s="3" t="n">
        <v>-1</v>
      </c>
      <c r="AI34" s="30" t="n">
        <v>-1</v>
      </c>
      <c r="AJ34" s="2" t="n">
        <f aca="false">IF(V34="Optimal", 1, 0)</f>
        <v>1</v>
      </c>
      <c r="AK34" s="3" t="e">
        <f aca="false">IF(AJ34=1, W34-G34)</f>
        <v>#VALUE!</v>
      </c>
      <c r="AL34" s="4" t="n">
        <f aca="false">IF(AND(AH34&lt;&gt;-1, G34&lt;&gt;"-", G34&lt;&gt;"."), ((G34-AH34)/G34)*100, -1)</f>
        <v>-1</v>
      </c>
      <c r="AN34" s="5" t="n">
        <f aca="false">IF(AND(AO34=C34, A34=AP34), 1, 0)</f>
        <v>1</v>
      </c>
      <c r="AO34" s="5" t="s">
        <v>85</v>
      </c>
      <c r="AP34" s="5" t="n">
        <v>5</v>
      </c>
      <c r="AQ34" s="5" t="n">
        <v>3600</v>
      </c>
      <c r="AR34" s="5" t="n">
        <v>87</v>
      </c>
      <c r="AS34" s="5" t="n">
        <v>406</v>
      </c>
      <c r="AT34" s="28" t="n">
        <v>4.95056</v>
      </c>
      <c r="AU34" s="28" t="s">
        <v>51</v>
      </c>
      <c r="AV34" s="28" t="n">
        <v>86</v>
      </c>
      <c r="AW34" s="28" t="n">
        <v>86</v>
      </c>
      <c r="AX34" s="28" t="n">
        <v>2</v>
      </c>
      <c r="AY34" s="28" t="n">
        <v>435</v>
      </c>
      <c r="AZ34" s="28" t="n">
        <v>2202</v>
      </c>
      <c r="BA34" s="28" t="n">
        <v>1</v>
      </c>
      <c r="BB34" s="6" t="n">
        <f aca="false">IF(AU34="Optimal", 1, 0)</f>
        <v>1</v>
      </c>
    </row>
    <row r="35" customFormat="false" ht="12.8" hidden="false" customHeight="false" outlineLevel="0" collapsed="false">
      <c r="A35" s="1" t="n">
        <v>5</v>
      </c>
      <c r="B35" s="23" t="s">
        <v>64</v>
      </c>
      <c r="C35" s="24" t="s">
        <v>87</v>
      </c>
      <c r="D35" s="25" t="n">
        <v>62</v>
      </c>
      <c r="E35" s="25" t="n">
        <v>159</v>
      </c>
      <c r="F35" s="25" t="n">
        <v>28</v>
      </c>
      <c r="G35" s="25" t="n">
        <v>2</v>
      </c>
      <c r="H35" s="3" t="n">
        <v>1</v>
      </c>
      <c r="I35" s="26" t="n">
        <v>0.15</v>
      </c>
      <c r="J35" s="26" t="n">
        <f aca="false">IF(I35="tl", 0, 1)</f>
        <v>1</v>
      </c>
      <c r="K35" s="26" t="n">
        <v>5.03</v>
      </c>
      <c r="L35" s="26" t="n">
        <f aca="false">IF(K35="tl", 0, 1)</f>
        <v>1</v>
      </c>
      <c r="M35" s="26" t="n">
        <v>0</v>
      </c>
      <c r="N35" s="26" t="n">
        <f aca="false">IF(M35="tl", 0, 1)</f>
        <v>1</v>
      </c>
      <c r="P35" s="23" t="n">
        <v>0</v>
      </c>
      <c r="Q35" s="23"/>
      <c r="R35" s="2" t="n">
        <f aca="false">IF(S35=C35, 1, 0)</f>
        <v>1</v>
      </c>
      <c r="S35" s="27" t="s">
        <v>87</v>
      </c>
      <c r="T35" s="27" t="n">
        <v>62</v>
      </c>
      <c r="U35" s="27" t="n">
        <v>159</v>
      </c>
      <c r="V35" s="3" t="s">
        <v>51</v>
      </c>
      <c r="W35" s="3" t="n">
        <v>2</v>
      </c>
      <c r="X35" s="3" t="n">
        <v>2</v>
      </c>
      <c r="Y35" s="3" t="n">
        <v>0.555887</v>
      </c>
      <c r="Z35" s="3" t="n">
        <v>0.353134</v>
      </c>
      <c r="AA35" s="3" t="n">
        <v>252</v>
      </c>
      <c r="AB35" s="3" t="n">
        <v>1</v>
      </c>
      <c r="AC35" s="3" t="n">
        <v>698</v>
      </c>
      <c r="AD35" s="3" t="n">
        <v>1176</v>
      </c>
      <c r="AE35" s="3" t="n">
        <v>31</v>
      </c>
      <c r="AF35" s="3" t="n">
        <v>0</v>
      </c>
      <c r="AG35" s="3" t="n">
        <v>0</v>
      </c>
      <c r="AH35" s="3" t="n">
        <v>-1</v>
      </c>
      <c r="AI35" s="3" t="n">
        <v>-1</v>
      </c>
      <c r="AJ35" s="2" t="n">
        <f aca="false">IF(V35="Optimal", 1, 0)</f>
        <v>1</v>
      </c>
      <c r="AK35" s="3" t="n">
        <f aca="false">IF(AJ35=1, W35-G35)</f>
        <v>0</v>
      </c>
      <c r="AL35" s="4" t="n">
        <f aca="false">IF(AND(AH35&lt;&gt;-1, G35&lt;&gt;"-", G35&lt;&gt;"."), ((G35-AH35)/G35)*100, -1)</f>
        <v>-1</v>
      </c>
      <c r="AN35" s="5" t="n">
        <f aca="false">IF(AND(AO35=C35, A35=AP35), 1, 0)</f>
        <v>1</v>
      </c>
      <c r="AO35" s="5" t="s">
        <v>87</v>
      </c>
      <c r="AP35" s="5" t="n">
        <v>5</v>
      </c>
      <c r="AQ35" s="5" t="n">
        <v>3600</v>
      </c>
      <c r="AR35" s="5" t="n">
        <v>62</v>
      </c>
      <c r="AS35" s="5" t="n">
        <v>159</v>
      </c>
      <c r="AT35" s="28" t="n">
        <v>5.11597</v>
      </c>
      <c r="AU35" s="28" t="s">
        <v>51</v>
      </c>
      <c r="AV35" s="28" t="n">
        <v>60</v>
      </c>
      <c r="AW35" s="28" t="n">
        <v>60</v>
      </c>
      <c r="AX35" s="28" t="n">
        <v>2</v>
      </c>
      <c r="AY35" s="28" t="n">
        <v>300</v>
      </c>
      <c r="AZ35" s="28" t="n">
        <v>466</v>
      </c>
      <c r="BA35" s="28" t="n">
        <v>10</v>
      </c>
      <c r="BB35" s="6" t="n">
        <f aca="false">IF(AU35="Optimal", 1, 0)</f>
        <v>1</v>
      </c>
    </row>
    <row r="36" customFormat="false" ht="12.8" hidden="false" customHeight="false" outlineLevel="0" collapsed="false">
      <c r="A36" s="1" t="n">
        <v>5</v>
      </c>
      <c r="B36" s="23" t="s">
        <v>49</v>
      </c>
      <c r="C36" s="24" t="s">
        <v>88</v>
      </c>
      <c r="D36" s="25" t="n">
        <v>125</v>
      </c>
      <c r="E36" s="25" t="n">
        <v>736</v>
      </c>
      <c r="F36" s="25" t="n">
        <v>34</v>
      </c>
      <c r="G36" s="25" t="s">
        <v>77</v>
      </c>
      <c r="H36" s="3" t="n">
        <v>0</v>
      </c>
      <c r="I36" s="26" t="s">
        <v>53</v>
      </c>
      <c r="J36" s="26" t="n">
        <f aca="false">IF(I36="tl", 0, 1)</f>
        <v>0</v>
      </c>
      <c r="K36" s="26" t="s">
        <v>53</v>
      </c>
      <c r="L36" s="26" t="n">
        <f aca="false">IF(K36="tl", 0, 1)</f>
        <v>0</v>
      </c>
      <c r="M36" s="26" t="s">
        <v>53</v>
      </c>
      <c r="N36" s="26" t="n">
        <f aca="false">IF(M36="tl", 0, 1)</f>
        <v>0</v>
      </c>
      <c r="P36" s="23" t="n">
        <v>0</v>
      </c>
      <c r="Q36" s="23"/>
      <c r="R36" s="2" t="n">
        <f aca="false">IF(S36=C36, 1, 0)</f>
        <v>1</v>
      </c>
      <c r="S36" s="27" t="s">
        <v>88</v>
      </c>
      <c r="T36" s="27" t="n">
        <v>125</v>
      </c>
      <c r="U36" s="27" t="n">
        <v>736</v>
      </c>
      <c r="V36" s="3" t="s">
        <v>54</v>
      </c>
      <c r="W36" s="3" t="n">
        <v>71</v>
      </c>
      <c r="X36" s="3" t="n">
        <v>6.42105</v>
      </c>
      <c r="Y36" s="3" t="n">
        <v>1800.15</v>
      </c>
      <c r="Z36" s="3" t="n">
        <v>1049.69</v>
      </c>
      <c r="AA36" s="3" t="n">
        <v>12057</v>
      </c>
      <c r="AB36" s="3" t="n">
        <v>37</v>
      </c>
      <c r="AC36" s="3" t="n">
        <v>3069</v>
      </c>
      <c r="AD36" s="3" t="n">
        <v>5278</v>
      </c>
      <c r="AE36" s="3" t="n">
        <v>1</v>
      </c>
      <c r="AF36" s="3" t="n">
        <v>0</v>
      </c>
      <c r="AG36" s="3" t="n">
        <v>7</v>
      </c>
      <c r="AH36" s="3" t="n">
        <v>4.06504</v>
      </c>
      <c r="AI36" s="3" t="n">
        <v>87</v>
      </c>
      <c r="AJ36" s="2" t="n">
        <f aca="false">IF(V36="Optimal", 1, 0)</f>
        <v>0</v>
      </c>
      <c r="AK36" s="29" t="b">
        <f aca="false">IF(AJ36=1, W36-G36)</f>
        <v>0</v>
      </c>
      <c r="AL36" s="4" t="n">
        <f aca="false">IF(AND(AH36&lt;&gt;-1, G36&lt;&gt;"-", G36&lt;&gt;"."), ((G36-AH36)/G36)*100, -1)</f>
        <v>-1</v>
      </c>
      <c r="AN36" s="5" t="n">
        <f aca="false">IF(AND(AO36=C36, A36=AP36), 1, 0)</f>
        <v>1</v>
      </c>
      <c r="AO36" s="5" t="s">
        <v>88</v>
      </c>
      <c r="AP36" s="5" t="n">
        <v>5</v>
      </c>
      <c r="AQ36" s="5" t="n">
        <v>3600</v>
      </c>
      <c r="AR36" s="5" t="n">
        <v>125</v>
      </c>
      <c r="AS36" s="5" t="n">
        <v>736</v>
      </c>
      <c r="AT36" s="28" t="n">
        <v>3600</v>
      </c>
      <c r="AU36" s="28" t="s">
        <v>54</v>
      </c>
      <c r="AV36" s="28" t="n">
        <v>119.742</v>
      </c>
      <c r="AW36" s="28" t="n">
        <v>102</v>
      </c>
      <c r="AX36" s="28" t="n">
        <v>23</v>
      </c>
      <c r="AY36" s="28" t="n">
        <v>613</v>
      </c>
      <c r="AZ36" s="28" t="n">
        <v>4028</v>
      </c>
      <c r="BA36" s="28" t="n">
        <v>817</v>
      </c>
      <c r="BB36" s="6" t="n">
        <f aca="false">IF(AU36="Optimal", 1, 0)</f>
        <v>0</v>
      </c>
    </row>
    <row r="37" customFormat="false" ht="12.8" hidden="false" customHeight="false" outlineLevel="0" collapsed="false">
      <c r="A37" s="1" t="n">
        <v>5</v>
      </c>
      <c r="B37" s="23" t="s">
        <v>49</v>
      </c>
      <c r="C37" s="24" t="s">
        <v>89</v>
      </c>
      <c r="D37" s="25" t="n">
        <v>125</v>
      </c>
      <c r="E37" s="25" t="n">
        <v>3891</v>
      </c>
      <c r="F37" s="25" t="n">
        <v>10</v>
      </c>
      <c r="G37" s="25" t="s">
        <v>77</v>
      </c>
      <c r="H37" s="3" t="n">
        <v>0</v>
      </c>
      <c r="I37" s="26" t="s">
        <v>53</v>
      </c>
      <c r="J37" s="26" t="n">
        <f aca="false">IF(I37="tl", 0, 1)</f>
        <v>0</v>
      </c>
      <c r="K37" s="26" t="s">
        <v>53</v>
      </c>
      <c r="L37" s="26" t="n">
        <f aca="false">IF(K37="tl", 0, 1)</f>
        <v>0</v>
      </c>
      <c r="M37" s="26" t="s">
        <v>53</v>
      </c>
      <c r="N37" s="26" t="n">
        <f aca="false">IF(M37="tl", 0, 1)</f>
        <v>0</v>
      </c>
      <c r="P37" s="23" t="n">
        <v>0</v>
      </c>
      <c r="Q37" s="23"/>
      <c r="R37" s="2" t="n">
        <f aca="false">IF(S37=C37, 1, 0)</f>
        <v>1</v>
      </c>
      <c r="S37" s="27" t="s">
        <v>89</v>
      </c>
      <c r="T37" s="27" t="n">
        <v>125</v>
      </c>
      <c r="U37" s="27" t="n">
        <v>3891</v>
      </c>
      <c r="V37" s="3" t="s">
        <v>54</v>
      </c>
      <c r="W37" s="3" t="n">
        <v>119</v>
      </c>
      <c r="X37" s="3" t="n">
        <v>4.06504</v>
      </c>
      <c r="Y37" s="3" t="n">
        <v>1800.06</v>
      </c>
      <c r="Z37" s="3" t="n">
        <v>147.387</v>
      </c>
      <c r="AA37" s="3" t="n">
        <v>7619</v>
      </c>
      <c r="AB37" s="3" t="n">
        <v>3</v>
      </c>
      <c r="AC37" s="3" t="n">
        <v>15689</v>
      </c>
      <c r="AD37" s="3" t="n">
        <v>27363</v>
      </c>
      <c r="AE37" s="3" t="n">
        <v>3</v>
      </c>
      <c r="AF37" s="3" t="n">
        <v>0</v>
      </c>
      <c r="AG37" s="3" t="n">
        <v>1</v>
      </c>
      <c r="AH37" s="3" t="n">
        <v>4.06504</v>
      </c>
      <c r="AI37" s="3" t="n">
        <v>119</v>
      </c>
      <c r="AJ37" s="2" t="n">
        <f aca="false">IF(V37="Optimal", 1, 0)</f>
        <v>0</v>
      </c>
      <c r="AK37" s="29" t="b">
        <f aca="false">IF(AJ37=1, W37-G37)</f>
        <v>0</v>
      </c>
      <c r="AL37" s="4" t="n">
        <f aca="false">IF(AND(AH37&lt;&gt;-1, G37&lt;&gt;"-", G37&lt;&gt;"."), ((G37-AH37)/G37)*100, -1)</f>
        <v>-1</v>
      </c>
      <c r="AN37" s="5" t="n">
        <f aca="false">IF(AND(AO37=C37, A37=AP37), 1, 0)</f>
        <v>1</v>
      </c>
      <c r="AO37" s="5" t="s">
        <v>89</v>
      </c>
      <c r="AP37" s="5" t="n">
        <v>5</v>
      </c>
      <c r="AQ37" s="5" t="n">
        <v>3600</v>
      </c>
      <c r="AR37" s="5" t="n">
        <v>125</v>
      </c>
      <c r="AS37" s="5" t="n">
        <v>3891</v>
      </c>
      <c r="AT37" s="28" t="n">
        <v>3600</v>
      </c>
      <c r="AU37" s="28" t="s">
        <v>54</v>
      </c>
      <c r="AV37" s="28" t="n">
        <v>107.869</v>
      </c>
      <c r="AW37" s="28" t="n">
        <v>21</v>
      </c>
      <c r="AX37" s="28" t="n">
        <v>104</v>
      </c>
      <c r="AY37" s="28" t="n">
        <v>587</v>
      </c>
      <c r="AZ37" s="28" t="n">
        <v>20654</v>
      </c>
      <c r="BA37" s="28" t="n">
        <v>16869</v>
      </c>
      <c r="BB37" s="6" t="n">
        <f aca="false">IF(AU37="Optimal", 1, 0)</f>
        <v>0</v>
      </c>
    </row>
    <row r="38" customFormat="false" ht="12.8" hidden="false" customHeight="false" outlineLevel="0" collapsed="false">
      <c r="A38" s="1" t="n">
        <v>5</v>
      </c>
      <c r="B38" s="23" t="s">
        <v>67</v>
      </c>
      <c r="C38" s="24" t="s">
        <v>90</v>
      </c>
      <c r="D38" s="25" t="n">
        <v>59</v>
      </c>
      <c r="E38" s="25" t="n">
        <v>256</v>
      </c>
      <c r="F38" s="25" t="n">
        <v>15</v>
      </c>
      <c r="G38" s="25" t="n">
        <v>10</v>
      </c>
      <c r="H38" s="3" t="n">
        <v>1</v>
      </c>
      <c r="I38" s="25" t="n">
        <v>17.02</v>
      </c>
      <c r="J38" s="26" t="n">
        <f aca="false">IF(I38="tl", 0, 1)</f>
        <v>1</v>
      </c>
      <c r="K38" s="25" t="n">
        <v>20.11</v>
      </c>
      <c r="L38" s="26" t="n">
        <f aca="false">IF(K38="tl", 0, 1)</f>
        <v>1</v>
      </c>
      <c r="M38" s="25" t="n">
        <v>20.88</v>
      </c>
      <c r="N38" s="26" t="n">
        <f aca="false">IF(M38="tl", 0, 1)</f>
        <v>1</v>
      </c>
      <c r="P38" s="23" t="n">
        <v>0</v>
      </c>
      <c r="Q38" s="23"/>
      <c r="R38" s="2" t="n">
        <f aca="false">IF(S38=C38, 1, 0)</f>
        <v>1</v>
      </c>
      <c r="S38" s="27" t="s">
        <v>90</v>
      </c>
      <c r="T38" s="27" t="n">
        <v>59</v>
      </c>
      <c r="U38" s="27" t="n">
        <v>256</v>
      </c>
      <c r="V38" s="3" t="s">
        <v>54</v>
      </c>
      <c r="W38" s="3" t="n">
        <v>12</v>
      </c>
      <c r="X38" s="3" t="n">
        <v>7.55556</v>
      </c>
      <c r="Y38" s="3" t="n">
        <v>1800.14</v>
      </c>
      <c r="Z38" s="3" t="n">
        <v>1602.59</v>
      </c>
      <c r="AA38" s="3" t="n">
        <v>13637</v>
      </c>
      <c r="AB38" s="3" t="n">
        <v>282</v>
      </c>
      <c r="AC38" s="3" t="n">
        <v>1083</v>
      </c>
      <c r="AD38" s="3" t="n">
        <v>1852</v>
      </c>
      <c r="AE38" s="3" t="n">
        <v>13</v>
      </c>
      <c r="AF38" s="3" t="n">
        <v>0</v>
      </c>
      <c r="AG38" s="3" t="n">
        <v>11</v>
      </c>
      <c r="AH38" s="3" t="n">
        <v>4.14035</v>
      </c>
      <c r="AI38" s="3" t="n">
        <v>45</v>
      </c>
      <c r="AJ38" s="2" t="n">
        <f aca="false">IF(V38="Optimal", 1, 0)</f>
        <v>0</v>
      </c>
      <c r="AK38" s="29" t="b">
        <f aca="false">IF(AJ38=1, W38-G38)</f>
        <v>0</v>
      </c>
      <c r="AL38" s="4" t="n">
        <f aca="false">IF(AND(AH38&lt;&gt;-1, G38&lt;&gt;"-", G38&lt;&gt;"."), ((G38-AH38)/G38)*100, -1)</f>
        <v>58.5965</v>
      </c>
      <c r="AN38" s="5" t="n">
        <f aca="false">IF(AND(AO38=C38, A38=AP38), 1, 0)</f>
        <v>1</v>
      </c>
      <c r="AO38" s="5" t="s">
        <v>90</v>
      </c>
      <c r="AP38" s="5" t="n">
        <v>5</v>
      </c>
      <c r="AQ38" s="5" t="n">
        <v>3600</v>
      </c>
      <c r="AR38" s="5" t="n">
        <v>59</v>
      </c>
      <c r="AS38" s="5" t="n">
        <v>256</v>
      </c>
      <c r="AT38" s="28" t="n">
        <v>80.1714</v>
      </c>
      <c r="AU38" s="28" t="s">
        <v>51</v>
      </c>
      <c r="AV38" s="28" t="n">
        <v>49</v>
      </c>
      <c r="AW38" s="28" t="n">
        <v>49</v>
      </c>
      <c r="AX38" s="28" t="n">
        <v>10</v>
      </c>
      <c r="AY38" s="28" t="n">
        <v>271</v>
      </c>
      <c r="AZ38" s="28" t="n">
        <v>1264</v>
      </c>
      <c r="BA38" s="28" t="n">
        <v>853</v>
      </c>
      <c r="BB38" s="6" t="n">
        <f aca="false">IF(AU38="Optimal", 1, 0)</f>
        <v>1</v>
      </c>
    </row>
    <row r="39" customFormat="false" ht="12.8" hidden="false" customHeight="false" outlineLevel="0" collapsed="false">
      <c r="A39" s="1" t="n">
        <v>5</v>
      </c>
      <c r="B39" s="23" t="s">
        <v>67</v>
      </c>
      <c r="C39" s="24" t="s">
        <v>91</v>
      </c>
      <c r="D39" s="25" t="n">
        <v>66</v>
      </c>
      <c r="E39" s="25" t="n">
        <v>255</v>
      </c>
      <c r="F39" s="25" t="n">
        <v>13</v>
      </c>
      <c r="G39" s="25" t="n">
        <v>15</v>
      </c>
      <c r="H39" s="3" t="n">
        <v>1</v>
      </c>
      <c r="I39" s="25" t="n">
        <v>566.29</v>
      </c>
      <c r="J39" s="26" t="n">
        <f aca="false">IF(I39="tl", 0, 1)</f>
        <v>1</v>
      </c>
      <c r="K39" s="25" t="s">
        <v>53</v>
      </c>
      <c r="L39" s="26" t="n">
        <f aca="false">IF(K39="tl", 0, 1)</f>
        <v>0</v>
      </c>
      <c r="M39" s="25" t="s">
        <v>53</v>
      </c>
      <c r="N39" s="26" t="n">
        <f aca="false">IF(M39="tl", 0, 1)</f>
        <v>0</v>
      </c>
      <c r="P39" s="23" t="n">
        <v>0</v>
      </c>
      <c r="Q39" s="23"/>
      <c r="R39" s="2" t="n">
        <f aca="false">IF(S39=C39, 1, 0)</f>
        <v>1</v>
      </c>
      <c r="S39" s="27" t="s">
        <v>91</v>
      </c>
      <c r="T39" s="27" t="n">
        <v>66</v>
      </c>
      <c r="U39" s="27" t="n">
        <v>255</v>
      </c>
      <c r="V39" s="3" t="s">
        <v>54</v>
      </c>
      <c r="W39" s="3" t="n">
        <v>16</v>
      </c>
      <c r="X39" s="3" t="n">
        <v>7.06667</v>
      </c>
      <c r="Y39" s="3" t="n">
        <v>1800.24</v>
      </c>
      <c r="Z39" s="3" t="n">
        <v>1597.34</v>
      </c>
      <c r="AA39" s="3" t="n">
        <v>12922</v>
      </c>
      <c r="AB39" s="3" t="n">
        <v>809</v>
      </c>
      <c r="AC39" s="3" t="n">
        <v>1086</v>
      </c>
      <c r="AD39" s="3" t="n">
        <v>1852</v>
      </c>
      <c r="AE39" s="3" t="n">
        <v>23</v>
      </c>
      <c r="AF39" s="3" t="n">
        <v>0</v>
      </c>
      <c r="AG39" s="3" t="n">
        <v>21</v>
      </c>
      <c r="AH39" s="3" t="n">
        <v>4.125</v>
      </c>
      <c r="AI39" s="3" t="n">
        <v>49</v>
      </c>
      <c r="AJ39" s="2" t="n">
        <f aca="false">IF(V39="Optimal", 1, 0)</f>
        <v>0</v>
      </c>
      <c r="AK39" s="29" t="b">
        <f aca="false">IF(AJ39=1, W39-G39)</f>
        <v>0</v>
      </c>
      <c r="AL39" s="4" t="n">
        <f aca="false">IF(AND(AH39&lt;&gt;-1, G39&lt;&gt;"-", G39&lt;&gt;"."), ((G39-AH39)/G39)*100, -1)</f>
        <v>72.5</v>
      </c>
      <c r="AN39" s="5" t="n">
        <f aca="false">IF(AND(AO39=C39, A39=AP39), 1, 0)</f>
        <v>1</v>
      </c>
      <c r="AO39" s="5" t="s">
        <v>91</v>
      </c>
      <c r="AP39" s="5" t="n">
        <v>5</v>
      </c>
      <c r="AQ39" s="5" t="n">
        <v>3600</v>
      </c>
      <c r="AR39" s="5" t="n">
        <v>66</v>
      </c>
      <c r="AS39" s="5" t="n">
        <v>255</v>
      </c>
      <c r="AT39" s="28" t="n">
        <v>3600</v>
      </c>
      <c r="AU39" s="28" t="s">
        <v>54</v>
      </c>
      <c r="AV39" s="28" t="n">
        <v>57.7414</v>
      </c>
      <c r="AW39" s="28" t="n">
        <v>51</v>
      </c>
      <c r="AX39" s="28" t="n">
        <v>15</v>
      </c>
      <c r="AY39" s="28" t="n">
        <v>302</v>
      </c>
      <c r="AZ39" s="28" t="n">
        <v>1664</v>
      </c>
      <c r="BA39" s="28" t="n">
        <v>530547</v>
      </c>
      <c r="BB39" s="6" t="n">
        <f aca="false">IF(AU39="Optimal", 1, 0)</f>
        <v>0</v>
      </c>
    </row>
    <row r="40" customFormat="false" ht="12.8" hidden="false" customHeight="false" outlineLevel="0" collapsed="false">
      <c r="A40" s="1" t="n">
        <v>5</v>
      </c>
      <c r="B40" s="23" t="s">
        <v>67</v>
      </c>
      <c r="C40" s="24" t="s">
        <v>92</v>
      </c>
      <c r="D40" s="25" t="n">
        <v>72</v>
      </c>
      <c r="E40" s="25" t="n">
        <v>170</v>
      </c>
      <c r="F40" s="25" t="n">
        <v>24</v>
      </c>
      <c r="G40" s="25" t="n">
        <v>7</v>
      </c>
      <c r="H40" s="3" t="n">
        <v>1</v>
      </c>
      <c r="I40" s="25" t="n">
        <v>59.4</v>
      </c>
      <c r="J40" s="26" t="n">
        <f aca="false">IF(I40="tl", 0, 1)</f>
        <v>1</v>
      </c>
      <c r="K40" s="25" t="n">
        <v>23.85</v>
      </c>
      <c r="L40" s="26" t="n">
        <f aca="false">IF(K40="tl", 0, 1)</f>
        <v>1</v>
      </c>
      <c r="M40" s="25" t="n">
        <v>6.41</v>
      </c>
      <c r="N40" s="26" t="n">
        <f aca="false">IF(M40="tl", 0, 1)</f>
        <v>1</v>
      </c>
      <c r="P40" s="23" t="n">
        <v>0</v>
      </c>
      <c r="Q40" s="23"/>
      <c r="R40" s="2" t="n">
        <f aca="false">IF(S40=C40, 1, 0)</f>
        <v>1</v>
      </c>
      <c r="S40" s="27" t="s">
        <v>92</v>
      </c>
      <c r="T40" s="27" t="n">
        <v>72</v>
      </c>
      <c r="U40" s="27" t="n">
        <v>170</v>
      </c>
      <c r="V40" s="3" t="s">
        <v>51</v>
      </c>
      <c r="W40" s="3" t="n">
        <v>7</v>
      </c>
      <c r="X40" s="30" t="n">
        <v>7</v>
      </c>
      <c r="Y40" s="3" t="n">
        <v>58.5721</v>
      </c>
      <c r="Z40" s="3" t="n">
        <v>45.8186</v>
      </c>
      <c r="AA40" s="3" t="n">
        <v>1890</v>
      </c>
      <c r="AB40" s="3" t="n">
        <v>80</v>
      </c>
      <c r="AC40" s="3" t="n">
        <v>752</v>
      </c>
      <c r="AD40" s="3" t="n">
        <v>1263</v>
      </c>
      <c r="AE40" s="3" t="n">
        <v>80</v>
      </c>
      <c r="AF40" s="3" t="n">
        <v>0</v>
      </c>
      <c r="AG40" s="3" t="n">
        <v>14</v>
      </c>
      <c r="AH40" s="3" t="n">
        <v>4.11429</v>
      </c>
      <c r="AI40" s="3" t="n">
        <v>22</v>
      </c>
      <c r="AJ40" s="2" t="n">
        <f aca="false">IF(V40="Optimal", 1, 0)</f>
        <v>1</v>
      </c>
      <c r="AK40" s="3" t="n">
        <f aca="false">IF(AJ40=1, W40-G40)</f>
        <v>0</v>
      </c>
      <c r="AL40" s="4" t="n">
        <f aca="false">IF(AND(AH40&lt;&gt;-1, G40&lt;&gt;"-", G40&lt;&gt;"."), ((G40-AH40)/G40)*100, -1)</f>
        <v>41.2244285714286</v>
      </c>
      <c r="AN40" s="5" t="n">
        <f aca="false">IF(AND(AO40=C40, A40=AP40), 1, 0)</f>
        <v>1</v>
      </c>
      <c r="AO40" s="5" t="s">
        <v>92</v>
      </c>
      <c r="AP40" s="5" t="n">
        <v>5</v>
      </c>
      <c r="AQ40" s="5" t="n">
        <v>3600</v>
      </c>
      <c r="AR40" s="5" t="n">
        <v>72</v>
      </c>
      <c r="AS40" s="5" t="n">
        <v>170</v>
      </c>
      <c r="AT40" s="28" t="n">
        <v>522.53</v>
      </c>
      <c r="AU40" s="28" t="s">
        <v>51</v>
      </c>
      <c r="AV40" s="28" t="n">
        <v>65</v>
      </c>
      <c r="AW40" s="28" t="n">
        <v>65</v>
      </c>
      <c r="AX40" s="28" t="n">
        <v>7</v>
      </c>
      <c r="AY40" s="28" t="n">
        <v>330</v>
      </c>
      <c r="AZ40" s="28" t="n">
        <v>875</v>
      </c>
      <c r="BA40" s="28" t="n">
        <v>40164</v>
      </c>
      <c r="BB40" s="6" t="n">
        <f aca="false">IF(AU40="Optimal", 1, 0)</f>
        <v>1</v>
      </c>
    </row>
    <row r="41" customFormat="false" ht="12.8" hidden="false" customHeight="false" outlineLevel="0" collapsed="false">
      <c r="A41" s="1" t="n">
        <v>5</v>
      </c>
      <c r="B41" s="23" t="s">
        <v>67</v>
      </c>
      <c r="C41" s="24" t="s">
        <v>93</v>
      </c>
      <c r="D41" s="25" t="n">
        <v>87</v>
      </c>
      <c r="E41" s="25" t="n">
        <v>726</v>
      </c>
      <c r="F41" s="25" t="n">
        <v>16</v>
      </c>
      <c r="G41" s="25" t="n">
        <v>11</v>
      </c>
      <c r="H41" s="3" t="n">
        <v>1</v>
      </c>
      <c r="I41" s="25" t="n">
        <v>44.31</v>
      </c>
      <c r="J41" s="26" t="n">
        <f aca="false">IF(I41="tl", 0, 1)</f>
        <v>1</v>
      </c>
      <c r="K41" s="25" t="n">
        <v>32.9</v>
      </c>
      <c r="L41" s="26" t="n">
        <f aca="false">IF(K41="tl", 0, 1)</f>
        <v>1</v>
      </c>
      <c r="M41" s="25" t="n">
        <v>20.34</v>
      </c>
      <c r="N41" s="26" t="n">
        <f aca="false">IF(M41="tl", 0, 1)</f>
        <v>1</v>
      </c>
      <c r="P41" s="23" t="n">
        <v>0</v>
      </c>
      <c r="Q41" s="23"/>
      <c r="R41" s="2" t="n">
        <f aca="false">IF(S41=C41, 1, 0)</f>
        <v>1</v>
      </c>
      <c r="S41" s="27" t="s">
        <v>93</v>
      </c>
      <c r="T41" s="27" t="n">
        <v>87</v>
      </c>
      <c r="U41" s="27" t="n">
        <v>726</v>
      </c>
      <c r="V41" s="3" t="s">
        <v>54</v>
      </c>
      <c r="W41" s="30" t="n">
        <v>14</v>
      </c>
      <c r="X41" s="30" t="n">
        <v>6.14286</v>
      </c>
      <c r="Y41" s="3" t="n">
        <v>1800.13</v>
      </c>
      <c r="Z41" s="3" t="n">
        <v>1186.95</v>
      </c>
      <c r="AA41" s="3" t="n">
        <v>10133</v>
      </c>
      <c r="AB41" s="3" t="n">
        <v>34</v>
      </c>
      <c r="AC41" s="3" t="n">
        <v>2991</v>
      </c>
      <c r="AD41" s="3" t="n">
        <v>5170</v>
      </c>
      <c r="AE41" s="3" t="n">
        <v>13</v>
      </c>
      <c r="AF41" s="3" t="n">
        <v>0</v>
      </c>
      <c r="AG41" s="3" t="n">
        <v>12</v>
      </c>
      <c r="AH41" s="3" t="n">
        <v>4.09412</v>
      </c>
      <c r="AI41" s="3" t="n">
        <v>68</v>
      </c>
      <c r="AJ41" s="2" t="n">
        <f aca="false">IF(V41="Optimal", 1, 0)</f>
        <v>0</v>
      </c>
      <c r="AK41" s="29" t="b">
        <f aca="false">IF(AJ41=1, W41-G41)</f>
        <v>0</v>
      </c>
      <c r="AL41" s="4" t="n">
        <f aca="false">IF(AND(AH41&lt;&gt;-1, G41&lt;&gt;"-", G41&lt;&gt;"."), ((G41-AH41)/G41)*100, -1)</f>
        <v>62.7807272727273</v>
      </c>
      <c r="AN41" s="5" t="n">
        <f aca="false">IF(AND(AO41=C41, A41=AP41), 1, 0)</f>
        <v>1</v>
      </c>
      <c r="AO41" s="5" t="s">
        <v>93</v>
      </c>
      <c r="AP41" s="5" t="n">
        <v>5</v>
      </c>
      <c r="AQ41" s="5" t="n">
        <v>3600</v>
      </c>
      <c r="AR41" s="5" t="n">
        <v>87</v>
      </c>
      <c r="AS41" s="5" t="n">
        <v>726</v>
      </c>
      <c r="AT41" s="28" t="n">
        <v>361.807</v>
      </c>
      <c r="AU41" s="28" t="s">
        <v>51</v>
      </c>
      <c r="AV41" s="28" t="n">
        <v>76</v>
      </c>
      <c r="AW41" s="28" t="n">
        <v>76</v>
      </c>
      <c r="AX41" s="28" t="n">
        <v>11</v>
      </c>
      <c r="AY41" s="28" t="n">
        <v>425</v>
      </c>
      <c r="AZ41" s="28" t="n">
        <v>1672</v>
      </c>
      <c r="BA41" s="28" t="n">
        <v>5470</v>
      </c>
      <c r="BB41" s="6" t="n">
        <f aca="false">IF(AU41="Optimal", 1, 0)</f>
        <v>1</v>
      </c>
    </row>
    <row r="42" customFormat="false" ht="12.8" hidden="false" customHeight="false" outlineLevel="0" collapsed="false">
      <c r="A42" s="1" t="n">
        <v>5</v>
      </c>
      <c r="B42" s="23" t="s">
        <v>64</v>
      </c>
      <c r="C42" s="24" t="s">
        <v>94</v>
      </c>
      <c r="D42" s="25" t="n">
        <v>115</v>
      </c>
      <c r="E42" s="25" t="n">
        <v>613</v>
      </c>
      <c r="F42" s="25" t="n">
        <v>21</v>
      </c>
      <c r="G42" s="25" t="s">
        <v>77</v>
      </c>
      <c r="H42" s="3" t="n">
        <v>0</v>
      </c>
      <c r="I42" s="26" t="s">
        <v>53</v>
      </c>
      <c r="J42" s="26" t="n">
        <f aca="false">IF(I42="tl", 0, 1)</f>
        <v>0</v>
      </c>
      <c r="K42" s="26" t="s">
        <v>53</v>
      </c>
      <c r="L42" s="26" t="n">
        <f aca="false">IF(K42="tl", 0, 1)</f>
        <v>0</v>
      </c>
      <c r="M42" s="26" t="s">
        <v>53</v>
      </c>
      <c r="N42" s="26" t="n">
        <f aca="false">IF(M42="tl", 0, 1)</f>
        <v>0</v>
      </c>
      <c r="P42" s="23" t="n">
        <v>0</v>
      </c>
      <c r="Q42" s="23"/>
      <c r="R42" s="2" t="n">
        <f aca="false">IF(S42=C42, 1, 0)</f>
        <v>1</v>
      </c>
      <c r="S42" s="27" t="s">
        <v>94</v>
      </c>
      <c r="T42" s="27" t="n">
        <v>115</v>
      </c>
      <c r="U42" s="27" t="n">
        <v>613</v>
      </c>
      <c r="V42" s="3" t="s">
        <v>54</v>
      </c>
      <c r="W42" s="3" t="n">
        <v>73</v>
      </c>
      <c r="X42" s="3" t="n">
        <v>6.19718</v>
      </c>
      <c r="Y42" s="3" t="n">
        <v>1800.08</v>
      </c>
      <c r="Z42" s="3" t="n">
        <v>1460.54</v>
      </c>
      <c r="AA42" s="3" t="n">
        <v>10812</v>
      </c>
      <c r="AB42" s="3" t="n">
        <v>164</v>
      </c>
      <c r="AC42" s="3" t="n">
        <v>2567</v>
      </c>
      <c r="AD42" s="3" t="n">
        <v>4407</v>
      </c>
      <c r="AE42" s="3" t="n">
        <v>9</v>
      </c>
      <c r="AF42" s="3" t="n">
        <v>0</v>
      </c>
      <c r="AG42" s="3" t="n">
        <v>11</v>
      </c>
      <c r="AH42" s="3" t="n">
        <v>4.0708</v>
      </c>
      <c r="AI42" s="3" t="n">
        <v>85</v>
      </c>
      <c r="AJ42" s="2" t="n">
        <f aca="false">IF(V42="Optimal", 1, 0)</f>
        <v>0</v>
      </c>
      <c r="AK42" s="29" t="b">
        <f aca="false">IF(AJ42=1, W42-G42)</f>
        <v>0</v>
      </c>
      <c r="AL42" s="4" t="n">
        <f aca="false">IF(AND(AH42&lt;&gt;-1, G42&lt;&gt;"-", G42&lt;&gt;"."), ((G42-AH42)/G42)*100, -1)</f>
        <v>-1</v>
      </c>
      <c r="AN42" s="5" t="n">
        <f aca="false">IF(AND(AO42=C42, A42=AP42), 1, 0)</f>
        <v>1</v>
      </c>
      <c r="AO42" s="5" t="s">
        <v>94</v>
      </c>
      <c r="AP42" s="5" t="n">
        <v>5</v>
      </c>
      <c r="AQ42" s="5" t="n">
        <v>3600</v>
      </c>
      <c r="AR42" s="5" t="n">
        <v>115</v>
      </c>
      <c r="AS42" s="5" t="n">
        <v>613</v>
      </c>
      <c r="AT42" s="28" t="n">
        <v>3600</v>
      </c>
      <c r="AU42" s="28" t="s">
        <v>54</v>
      </c>
      <c r="AV42" s="28" t="n">
        <v>108</v>
      </c>
      <c r="AW42" s="28" t="n">
        <v>91</v>
      </c>
      <c r="AX42" s="28" t="n">
        <v>24</v>
      </c>
      <c r="AY42" s="28" t="n">
        <v>555</v>
      </c>
      <c r="AZ42" s="28" t="n">
        <v>3440</v>
      </c>
      <c r="BA42" s="28" t="n">
        <v>23998</v>
      </c>
      <c r="BB42" s="6" t="n">
        <f aca="false">IF(AU42="Optimal", 1, 0)</f>
        <v>0</v>
      </c>
    </row>
    <row r="43" customFormat="false" ht="12.8" hidden="false" customHeight="false" outlineLevel="0" collapsed="false">
      <c r="A43" s="1" t="n">
        <v>5</v>
      </c>
      <c r="B43" s="23" t="s">
        <v>49</v>
      </c>
      <c r="C43" s="24" t="s">
        <v>95</v>
      </c>
      <c r="D43" s="25" t="n">
        <v>120</v>
      </c>
      <c r="E43" s="25" t="n">
        <v>638</v>
      </c>
      <c r="F43" s="25" t="n">
        <v>22</v>
      </c>
      <c r="G43" s="25" t="s">
        <v>77</v>
      </c>
      <c r="H43" s="3" t="n">
        <v>0</v>
      </c>
      <c r="I43" s="26" t="s">
        <v>53</v>
      </c>
      <c r="J43" s="26" t="n">
        <f aca="false">IF(I43="tl", 0, 1)</f>
        <v>0</v>
      </c>
      <c r="K43" s="26" t="s">
        <v>53</v>
      </c>
      <c r="L43" s="26" t="n">
        <f aca="false">IF(K43="tl", 0, 1)</f>
        <v>0</v>
      </c>
      <c r="M43" s="26" t="s">
        <v>53</v>
      </c>
      <c r="N43" s="26" t="n">
        <f aca="false">IF(M43="tl", 0, 1)</f>
        <v>0</v>
      </c>
      <c r="P43" s="23" t="n">
        <v>0</v>
      </c>
      <c r="Q43" s="23"/>
      <c r="R43" s="2" t="n">
        <f aca="false">IF(S43=C43, 1, 0)</f>
        <v>1</v>
      </c>
      <c r="S43" s="27" t="s">
        <v>95</v>
      </c>
      <c r="T43" s="27" t="n">
        <v>120</v>
      </c>
      <c r="U43" s="27" t="n">
        <v>638</v>
      </c>
      <c r="V43" s="3" t="s">
        <v>54</v>
      </c>
      <c r="W43" s="3" t="n">
        <v>83</v>
      </c>
      <c r="X43" s="3" t="n">
        <v>4.49057</v>
      </c>
      <c r="Y43" s="3" t="n">
        <v>1800</v>
      </c>
      <c r="Z43" s="3" t="n">
        <v>43.5553</v>
      </c>
      <c r="AA43" s="3" t="n">
        <v>3438</v>
      </c>
      <c r="AB43" s="3" t="n">
        <v>14</v>
      </c>
      <c r="AC43" s="3" t="n">
        <v>2672</v>
      </c>
      <c r="AD43" s="3" t="n">
        <v>4587</v>
      </c>
      <c r="AE43" s="3" t="n">
        <v>22</v>
      </c>
      <c r="AF43" s="3" t="n">
        <v>0</v>
      </c>
      <c r="AG43" s="3" t="n">
        <v>8</v>
      </c>
      <c r="AH43" s="3" t="n">
        <v>4.0678</v>
      </c>
      <c r="AI43" s="3" t="n">
        <v>83</v>
      </c>
      <c r="AJ43" s="2" t="n">
        <f aca="false">IF(V43="Optimal", 1, 0)</f>
        <v>0</v>
      </c>
      <c r="AK43" s="29" t="b">
        <f aca="false">IF(AJ43=1, W43-G43)</f>
        <v>0</v>
      </c>
      <c r="AL43" s="4" t="n">
        <f aca="false">IF(AND(AH43&lt;&gt;-1, G43&lt;&gt;"-", G43&lt;&gt;"."), ((G43-AH43)/G43)*100, -1)</f>
        <v>-1</v>
      </c>
      <c r="AN43" s="5" t="n">
        <f aca="false">IF(AND(AO43=C43, A43=AP43), 1, 0)</f>
        <v>1</v>
      </c>
      <c r="AO43" s="5" t="s">
        <v>95</v>
      </c>
      <c r="AP43" s="5" t="n">
        <v>5</v>
      </c>
      <c r="AQ43" s="5" t="n">
        <v>3600</v>
      </c>
      <c r="AR43" s="5" t="n">
        <v>120</v>
      </c>
      <c r="AS43" s="5" t="n">
        <v>638</v>
      </c>
      <c r="AT43" s="28" t="n">
        <v>3600</v>
      </c>
      <c r="AU43" s="28" t="s">
        <v>54</v>
      </c>
      <c r="AV43" s="28" t="n">
        <v>114.46</v>
      </c>
      <c r="AW43" s="28" t="n">
        <v>99</v>
      </c>
      <c r="AX43" s="28" t="n">
        <v>21</v>
      </c>
      <c r="AY43" s="28" t="n">
        <v>588</v>
      </c>
      <c r="AZ43" s="28" t="n">
        <v>3505</v>
      </c>
      <c r="BA43" s="28" t="n">
        <v>17712</v>
      </c>
      <c r="BB43" s="6" t="n">
        <f aca="false">IF(AU43="Optimal", 1, 0)</f>
        <v>0</v>
      </c>
    </row>
    <row r="44" customFormat="false" ht="12.8" hidden="false" customHeight="false" outlineLevel="0" collapsed="false">
      <c r="A44" s="1" t="n">
        <v>5</v>
      </c>
      <c r="B44" s="23" t="s">
        <v>67</v>
      </c>
      <c r="C44" s="24" t="s">
        <v>96</v>
      </c>
      <c r="D44" s="25" t="n">
        <v>115</v>
      </c>
      <c r="E44" s="25" t="n">
        <v>576</v>
      </c>
      <c r="F44" s="25" t="n">
        <v>33</v>
      </c>
      <c r="G44" s="25" t="n">
        <v>12</v>
      </c>
      <c r="H44" s="3" t="n">
        <v>1</v>
      </c>
      <c r="I44" s="25" t="n">
        <v>998.31</v>
      </c>
      <c r="J44" s="26" t="n">
        <f aca="false">IF(I44="tl", 0, 1)</f>
        <v>1</v>
      </c>
      <c r="K44" s="25" t="n">
        <v>2158.27</v>
      </c>
      <c r="L44" s="26" t="n">
        <f aca="false">IF(K44="tl", 0, 1)</f>
        <v>1</v>
      </c>
      <c r="M44" s="25" t="s">
        <v>53</v>
      </c>
      <c r="N44" s="26" t="n">
        <f aca="false">IF(M44="tl", 0, 1)</f>
        <v>0</v>
      </c>
      <c r="P44" s="23" t="n">
        <v>0</v>
      </c>
      <c r="Q44" s="23"/>
      <c r="R44" s="2" t="n">
        <f aca="false">IF(S44=C44, 1, 0)</f>
        <v>1</v>
      </c>
      <c r="S44" s="27" t="s">
        <v>96</v>
      </c>
      <c r="T44" s="27" t="n">
        <v>115</v>
      </c>
      <c r="U44" s="27" t="n">
        <v>576</v>
      </c>
      <c r="V44" s="3" t="s">
        <v>54</v>
      </c>
      <c r="W44" s="30" t="n">
        <v>48</v>
      </c>
      <c r="X44" s="30" t="n">
        <v>6.08219</v>
      </c>
      <c r="Y44" s="3" t="n">
        <v>1800.18</v>
      </c>
      <c r="Z44" s="3" t="n">
        <v>1288.22</v>
      </c>
      <c r="AA44" s="3" t="n">
        <v>11666</v>
      </c>
      <c r="AB44" s="3" t="n">
        <v>34</v>
      </c>
      <c r="AC44" s="3" t="n">
        <v>2419</v>
      </c>
      <c r="AD44" s="3" t="n">
        <v>4148</v>
      </c>
      <c r="AE44" s="3" t="n">
        <v>13</v>
      </c>
      <c r="AF44" s="3" t="n">
        <v>0</v>
      </c>
      <c r="AG44" s="3" t="n">
        <v>8</v>
      </c>
      <c r="AH44" s="3" t="n">
        <v>4.0708</v>
      </c>
      <c r="AI44" s="3" t="n">
        <v>78</v>
      </c>
      <c r="AJ44" s="2" t="n">
        <f aca="false">IF(V44="Optimal", 1, 0)</f>
        <v>0</v>
      </c>
      <c r="AK44" s="29" t="b">
        <f aca="false">IF(AJ44=1, W44-G44)</f>
        <v>0</v>
      </c>
      <c r="AL44" s="4" t="n">
        <f aca="false">IF(AND(AH44&lt;&gt;-1, G44&lt;&gt;"-", G44&lt;&gt;"."), ((G44-AH44)/G44)*100, -1)</f>
        <v>66.0766666666667</v>
      </c>
      <c r="AN44" s="5" t="n">
        <f aca="false">IF(AND(AO44=C44, A44=AP44), 1, 0)</f>
        <v>1</v>
      </c>
      <c r="AO44" s="5" t="s">
        <v>96</v>
      </c>
      <c r="AP44" s="5" t="n">
        <v>5</v>
      </c>
      <c r="AQ44" s="5" t="n">
        <v>3600</v>
      </c>
      <c r="AR44" s="5" t="n">
        <v>115</v>
      </c>
      <c r="AS44" s="5" t="n">
        <v>576</v>
      </c>
      <c r="AT44" s="28" t="n">
        <v>2488.25</v>
      </c>
      <c r="AU44" s="28" t="s">
        <v>51</v>
      </c>
      <c r="AV44" s="28" t="n">
        <v>103</v>
      </c>
      <c r="AW44" s="28" t="n">
        <v>103</v>
      </c>
      <c r="AX44" s="28" t="n">
        <v>12</v>
      </c>
      <c r="AY44" s="28" t="n">
        <v>565</v>
      </c>
      <c r="AZ44" s="28" t="n">
        <v>1198</v>
      </c>
      <c r="BA44" s="28" t="n">
        <v>105701</v>
      </c>
      <c r="BB44" s="6" t="n">
        <f aca="false">IF(AU44="Optimal", 1, 0)</f>
        <v>1</v>
      </c>
    </row>
    <row r="45" customFormat="false" ht="12.8" hidden="false" customHeight="false" outlineLevel="0" collapsed="false">
      <c r="A45" s="1" t="n">
        <v>5</v>
      </c>
      <c r="B45" s="23" t="s">
        <v>49</v>
      </c>
      <c r="C45" s="24" t="s">
        <v>97</v>
      </c>
      <c r="D45" s="25" t="n">
        <v>74</v>
      </c>
      <c r="E45" s="25" t="n">
        <v>301</v>
      </c>
      <c r="F45" s="25" t="n">
        <v>27</v>
      </c>
      <c r="G45" s="25" t="n">
        <v>1</v>
      </c>
      <c r="H45" s="3" t="n">
        <v>1</v>
      </c>
      <c r="I45" s="26" t="n">
        <v>0.06</v>
      </c>
      <c r="J45" s="26" t="n">
        <f aca="false">IF(I45="tl", 0, 1)</f>
        <v>1</v>
      </c>
      <c r="K45" s="26" t="n">
        <v>3.89</v>
      </c>
      <c r="L45" s="26" t="n">
        <f aca="false">IF(K45="tl", 0, 1)</f>
        <v>1</v>
      </c>
      <c r="M45" s="26" t="n">
        <v>0</v>
      </c>
      <c r="N45" s="26" t="n">
        <f aca="false">IF(M45="tl", 0, 1)</f>
        <v>1</v>
      </c>
      <c r="P45" s="23" t="n">
        <v>0</v>
      </c>
      <c r="Q45" s="23"/>
      <c r="R45" s="2" t="n">
        <f aca="false">IF(S45=C45, 1, 0)</f>
        <v>1</v>
      </c>
      <c r="S45" s="27" t="s">
        <v>97</v>
      </c>
      <c r="T45" s="27" t="n">
        <v>74</v>
      </c>
      <c r="U45" s="27" t="n">
        <v>301</v>
      </c>
      <c r="V45" s="3" t="s">
        <v>51</v>
      </c>
      <c r="W45" s="3" t="n">
        <v>1</v>
      </c>
      <c r="X45" s="3" t="n">
        <v>1</v>
      </c>
      <c r="Y45" s="3" t="n">
        <v>14.1494</v>
      </c>
      <c r="Z45" s="3" t="n">
        <v>1.84609</v>
      </c>
      <c r="AA45" s="3" t="n">
        <v>912</v>
      </c>
      <c r="AB45" s="3" t="n">
        <v>2</v>
      </c>
      <c r="AC45" s="3" t="n">
        <v>1278</v>
      </c>
      <c r="AD45" s="3" t="n">
        <v>2182</v>
      </c>
      <c r="AE45" s="3" t="n">
        <v>410</v>
      </c>
      <c r="AF45" s="3" t="n">
        <v>0</v>
      </c>
      <c r="AG45" s="3" t="n">
        <v>1</v>
      </c>
      <c r="AH45" s="3" t="n">
        <v>1</v>
      </c>
      <c r="AI45" s="3" t="n">
        <v>2</v>
      </c>
      <c r="AJ45" s="2" t="n">
        <f aca="false">IF(V45="Optimal", 1, 0)</f>
        <v>1</v>
      </c>
      <c r="AK45" s="3" t="n">
        <f aca="false">IF(AJ45=1, W45-G45)</f>
        <v>0</v>
      </c>
      <c r="AL45" s="4" t="n">
        <f aca="false">IF(AND(AH45&lt;&gt;-1, G45&lt;&gt;"-", G45&lt;&gt;"."), ((G45-AH45)/G45)*100, -1)</f>
        <v>0</v>
      </c>
      <c r="AN45" s="5" t="n">
        <f aca="false">IF(AND(AO45=C45, A45=AP45), 1, 0)</f>
        <v>1</v>
      </c>
      <c r="AO45" s="5" t="s">
        <v>97</v>
      </c>
      <c r="AP45" s="5" t="n">
        <v>5</v>
      </c>
      <c r="AQ45" s="5" t="n">
        <v>3600</v>
      </c>
      <c r="AR45" s="5" t="n">
        <v>74</v>
      </c>
      <c r="AS45" s="5" t="n">
        <v>301</v>
      </c>
      <c r="AT45" s="28" t="n">
        <v>4.87383</v>
      </c>
      <c r="AU45" s="28" t="s">
        <v>51</v>
      </c>
      <c r="AV45" s="28" t="n">
        <v>73</v>
      </c>
      <c r="AW45" s="28" t="n">
        <v>73</v>
      </c>
      <c r="AX45" s="28" t="n">
        <v>1</v>
      </c>
      <c r="AY45" s="28" t="n">
        <v>360</v>
      </c>
      <c r="AZ45" s="28" t="n">
        <v>1528</v>
      </c>
      <c r="BA45" s="28" t="n">
        <v>3</v>
      </c>
      <c r="BB45" s="6" t="n">
        <f aca="false">IF(AU45="Optimal", 1, 0)</f>
        <v>1</v>
      </c>
    </row>
    <row r="46" customFormat="false" ht="12.8" hidden="false" customHeight="false" outlineLevel="0" collapsed="false">
      <c r="A46" s="1" t="n">
        <v>5</v>
      </c>
      <c r="B46" s="23" t="s">
        <v>67</v>
      </c>
      <c r="C46" s="24" t="s">
        <v>98</v>
      </c>
      <c r="D46" s="25" t="n">
        <v>32</v>
      </c>
      <c r="E46" s="25" t="n">
        <v>179</v>
      </c>
      <c r="F46" s="25" t="n">
        <v>8</v>
      </c>
      <c r="G46" s="25" t="n">
        <v>16</v>
      </c>
      <c r="H46" s="3" t="n">
        <v>1</v>
      </c>
      <c r="I46" s="25" t="n">
        <v>0.67</v>
      </c>
      <c r="J46" s="26" t="n">
        <f aca="false">IF(I46="tl", 0, 1)</f>
        <v>1</v>
      </c>
      <c r="K46" s="25" t="n">
        <v>1.85</v>
      </c>
      <c r="L46" s="26" t="n">
        <f aca="false">IF(K46="tl", 0, 1)</f>
        <v>1</v>
      </c>
      <c r="M46" s="25" t="n">
        <v>8.07</v>
      </c>
      <c r="N46" s="26" t="n">
        <f aca="false">IF(M46="tl", 0, 1)</f>
        <v>1</v>
      </c>
      <c r="P46" s="23" t="n">
        <v>0</v>
      </c>
      <c r="Q46" s="23"/>
      <c r="R46" s="2" t="n">
        <f aca="false">IF(S46=C46, 1, 0)</f>
        <v>1</v>
      </c>
      <c r="S46" s="27" t="s">
        <v>98</v>
      </c>
      <c r="T46" s="27" t="n">
        <v>32</v>
      </c>
      <c r="U46" s="27" t="n">
        <v>179</v>
      </c>
      <c r="V46" s="3" t="s">
        <v>51</v>
      </c>
      <c r="W46" s="30" t="n">
        <v>16</v>
      </c>
      <c r="X46" s="30" t="n">
        <v>16</v>
      </c>
      <c r="Y46" s="3" t="n">
        <v>42.0987</v>
      </c>
      <c r="Z46" s="3" t="n">
        <v>30.8554</v>
      </c>
      <c r="AA46" s="3" t="n">
        <v>2689</v>
      </c>
      <c r="AB46" s="3" t="n">
        <v>212</v>
      </c>
      <c r="AC46" s="3" t="n">
        <v>748</v>
      </c>
      <c r="AD46" s="3" t="n">
        <v>1286</v>
      </c>
      <c r="AE46" s="3" t="n">
        <v>11</v>
      </c>
      <c r="AF46" s="3" t="n">
        <v>45</v>
      </c>
      <c r="AG46" s="3" t="n">
        <v>16</v>
      </c>
      <c r="AH46" s="3" t="n">
        <v>4.26667</v>
      </c>
      <c r="AI46" s="3" t="n">
        <v>25</v>
      </c>
      <c r="AJ46" s="2" t="n">
        <f aca="false">IF(V46="Optimal", 1, 0)</f>
        <v>1</v>
      </c>
      <c r="AK46" s="3" t="n">
        <f aca="false">IF(AJ46=1, W46-G46)</f>
        <v>0</v>
      </c>
      <c r="AL46" s="4" t="n">
        <f aca="false">IF(AND(AH46&lt;&gt;-1, G46&lt;&gt;"-", G46&lt;&gt;"."), ((G46-AH46)/G46)*100, -1)</f>
        <v>73.3333125</v>
      </c>
      <c r="AN46" s="5" t="n">
        <f aca="false">IF(AND(AO46=C46, A46=AP46), 1, 0)</f>
        <v>1</v>
      </c>
      <c r="AO46" s="5" t="s">
        <v>98</v>
      </c>
      <c r="AP46" s="5" t="n">
        <v>5</v>
      </c>
      <c r="AQ46" s="5" t="n">
        <v>3600</v>
      </c>
      <c r="AR46" s="5" t="n">
        <v>32</v>
      </c>
      <c r="AS46" s="5" t="n">
        <v>179</v>
      </c>
      <c r="AT46" s="28" t="n">
        <v>10.2605</v>
      </c>
      <c r="AU46" s="28" t="s">
        <v>51</v>
      </c>
      <c r="AV46" s="28" t="n">
        <v>16</v>
      </c>
      <c r="AW46" s="28" t="n">
        <v>16</v>
      </c>
      <c r="AX46" s="28" t="n">
        <v>16</v>
      </c>
      <c r="AY46" s="28" t="n">
        <v>123</v>
      </c>
      <c r="AZ46" s="28" t="n">
        <v>571</v>
      </c>
      <c r="BA46" s="28" t="n">
        <v>643</v>
      </c>
      <c r="BB46" s="6" t="n">
        <f aca="false">IF(AU46="Optimal", 1, 0)</f>
        <v>1</v>
      </c>
    </row>
    <row r="47" customFormat="false" ht="12.8" hidden="false" customHeight="false" outlineLevel="0" collapsed="false">
      <c r="A47" s="1" t="n">
        <v>5</v>
      </c>
      <c r="B47" s="23" t="s">
        <v>67</v>
      </c>
      <c r="C47" s="24" t="s">
        <v>99</v>
      </c>
      <c r="D47" s="25" t="n">
        <v>59</v>
      </c>
      <c r="E47" s="25" t="n">
        <v>329</v>
      </c>
      <c r="F47" s="25" t="n">
        <v>20</v>
      </c>
      <c r="G47" s="25" t="n">
        <v>5</v>
      </c>
      <c r="H47" s="3" t="n">
        <v>1</v>
      </c>
      <c r="I47" s="25" t="n">
        <v>0.35</v>
      </c>
      <c r="J47" s="26" t="n">
        <f aca="false">IF(I47="tl", 0, 1)</f>
        <v>1</v>
      </c>
      <c r="K47" s="25" t="n">
        <v>0.91</v>
      </c>
      <c r="L47" s="26" t="n">
        <f aca="false">IF(K47="tl", 0, 1)</f>
        <v>1</v>
      </c>
      <c r="M47" s="25" t="n">
        <v>0.17</v>
      </c>
      <c r="N47" s="26" t="n">
        <f aca="false">IF(M47="tl", 0, 1)</f>
        <v>1</v>
      </c>
      <c r="P47" s="23" t="n">
        <v>0</v>
      </c>
      <c r="Q47" s="23"/>
      <c r="R47" s="2" t="n">
        <f aca="false">IF(S47=C47, 1, 0)</f>
        <v>1</v>
      </c>
      <c r="S47" s="27" t="s">
        <v>99</v>
      </c>
      <c r="T47" s="27" t="n">
        <v>59</v>
      </c>
      <c r="U47" s="27" t="n">
        <v>329</v>
      </c>
      <c r="V47" s="3" t="s">
        <v>51</v>
      </c>
      <c r="W47" s="30" t="n">
        <v>5</v>
      </c>
      <c r="X47" s="30" t="n">
        <v>5</v>
      </c>
      <c r="Y47" s="3" t="n">
        <v>124.784</v>
      </c>
      <c r="Z47" s="3" t="n">
        <v>79.0292</v>
      </c>
      <c r="AA47" s="3" t="n">
        <v>3161</v>
      </c>
      <c r="AB47" s="3" t="n">
        <v>3</v>
      </c>
      <c r="AC47" s="3" t="n">
        <v>1375</v>
      </c>
      <c r="AD47" s="3" t="n">
        <v>2363</v>
      </c>
      <c r="AE47" s="3" t="n">
        <v>12</v>
      </c>
      <c r="AF47" s="3" t="n">
        <v>0</v>
      </c>
      <c r="AG47" s="3" t="n">
        <v>1</v>
      </c>
      <c r="AH47" s="3" t="n">
        <v>4</v>
      </c>
      <c r="AI47" s="3" t="n">
        <v>5</v>
      </c>
      <c r="AJ47" s="2" t="n">
        <f aca="false">IF(V47="Optimal", 1, 0)</f>
        <v>1</v>
      </c>
      <c r="AK47" s="3" t="n">
        <f aca="false">IF(AJ47=1, W47-G47)</f>
        <v>0</v>
      </c>
      <c r="AL47" s="4" t="n">
        <f aca="false">IF(AND(AH47&lt;&gt;-1, G47&lt;&gt;"-", G47&lt;&gt;"."), ((G47-AH47)/G47)*100, -1)</f>
        <v>20</v>
      </c>
      <c r="AN47" s="5" t="n">
        <f aca="false">IF(AND(AO47=C47, A47=AP47), 1, 0)</f>
        <v>1</v>
      </c>
      <c r="AO47" s="5" t="s">
        <v>99</v>
      </c>
      <c r="AP47" s="5" t="n">
        <v>5</v>
      </c>
      <c r="AQ47" s="5" t="n">
        <v>3600</v>
      </c>
      <c r="AR47" s="5" t="n">
        <v>59</v>
      </c>
      <c r="AS47" s="5" t="n">
        <v>329</v>
      </c>
      <c r="AT47" s="28" t="n">
        <v>21.6887</v>
      </c>
      <c r="AU47" s="28" t="s">
        <v>51</v>
      </c>
      <c r="AV47" s="28" t="n">
        <v>54</v>
      </c>
      <c r="AW47" s="28" t="n">
        <v>54</v>
      </c>
      <c r="AX47" s="28" t="n">
        <v>5</v>
      </c>
      <c r="AY47" s="28" t="n">
        <v>285</v>
      </c>
      <c r="AZ47" s="28" t="n">
        <v>1734</v>
      </c>
      <c r="BA47" s="28" t="n">
        <v>7</v>
      </c>
      <c r="BB47" s="6" t="n">
        <f aca="false">IF(AU47="Optimal", 1, 0)</f>
        <v>1</v>
      </c>
    </row>
    <row r="48" customFormat="false" ht="12.8" hidden="false" customHeight="false" outlineLevel="0" collapsed="false">
      <c r="A48" s="1" t="n">
        <v>5</v>
      </c>
      <c r="B48" s="23" t="s">
        <v>64</v>
      </c>
      <c r="C48" s="24" t="s">
        <v>100</v>
      </c>
      <c r="D48" s="25" t="n">
        <v>198</v>
      </c>
      <c r="E48" s="25" t="n">
        <v>2742</v>
      </c>
      <c r="F48" s="25" t="n">
        <v>40</v>
      </c>
      <c r="G48" s="25" t="n">
        <v>4</v>
      </c>
      <c r="H48" s="3" t="n">
        <v>1</v>
      </c>
      <c r="I48" s="26" t="n">
        <v>32.79</v>
      </c>
      <c r="J48" s="26" t="n">
        <f aca="false">IF(I48="tl", 0, 1)</f>
        <v>1</v>
      </c>
      <c r="K48" s="26" t="n">
        <v>66.46</v>
      </c>
      <c r="L48" s="26" t="n">
        <f aca="false">IF(K48="tl", 0, 1)</f>
        <v>1</v>
      </c>
      <c r="M48" s="26" t="n">
        <v>0.66</v>
      </c>
      <c r="N48" s="26" t="n">
        <f aca="false">IF(M48="tl", 0, 1)</f>
        <v>1</v>
      </c>
      <c r="P48" s="23" t="n">
        <v>0</v>
      </c>
      <c r="Q48" s="23"/>
      <c r="R48" s="2" t="n">
        <f aca="false">IF(S48=C48, 1, 0)</f>
        <v>1</v>
      </c>
      <c r="S48" s="27" t="s">
        <v>100</v>
      </c>
      <c r="T48" s="27" t="n">
        <v>198</v>
      </c>
      <c r="U48" s="27" t="n">
        <v>2742</v>
      </c>
      <c r="V48" s="3" t="s">
        <v>54</v>
      </c>
      <c r="W48" s="3" t="n">
        <v>145</v>
      </c>
      <c r="X48" s="3" t="n">
        <v>3.93717</v>
      </c>
      <c r="Y48" s="3" t="n">
        <v>1800.14</v>
      </c>
      <c r="Z48" s="3" t="n">
        <v>123.775</v>
      </c>
      <c r="AA48" s="3" t="n">
        <v>4217</v>
      </c>
      <c r="AB48" s="3" t="n">
        <v>3</v>
      </c>
      <c r="AC48" s="3" t="n">
        <v>11166</v>
      </c>
      <c r="AD48" s="3" t="n">
        <v>19393</v>
      </c>
      <c r="AE48" s="3" t="n">
        <v>48</v>
      </c>
      <c r="AF48" s="3" t="n">
        <v>0</v>
      </c>
      <c r="AG48" s="3" t="n">
        <v>1</v>
      </c>
      <c r="AH48" s="3" t="n">
        <v>3.93717</v>
      </c>
      <c r="AI48" s="30" t="n">
        <v>145</v>
      </c>
      <c r="AJ48" s="2" t="n">
        <f aca="false">IF(V48="Optimal", 1, 0)</f>
        <v>0</v>
      </c>
      <c r="AK48" s="29" t="b">
        <f aca="false">IF(AJ48=1, W48-G48)</f>
        <v>0</v>
      </c>
      <c r="AL48" s="4" t="n">
        <f aca="false">IF(AND(AH48&lt;&gt;-1, G48&lt;&gt;"-", G48&lt;&gt;"."), ((G48-AH48)/G48)*100, -1)</f>
        <v>1.57075</v>
      </c>
      <c r="AN48" s="5" t="n">
        <f aca="false">IF(AND(AO48=C48, A48=AP48), 1, 0)</f>
        <v>1</v>
      </c>
      <c r="AO48" s="5" t="s">
        <v>100</v>
      </c>
      <c r="AP48" s="5" t="n">
        <v>5</v>
      </c>
      <c r="AQ48" s="5" t="n">
        <v>3600</v>
      </c>
      <c r="AR48" s="5" t="n">
        <v>198</v>
      </c>
      <c r="AS48" s="5" t="n">
        <v>2742</v>
      </c>
      <c r="AT48" s="28" t="n">
        <v>280.823</v>
      </c>
      <c r="AU48" s="28" t="s">
        <v>51</v>
      </c>
      <c r="AV48" s="28" t="n">
        <v>194</v>
      </c>
      <c r="AW48" s="28" t="n">
        <v>194</v>
      </c>
      <c r="AX48" s="28" t="n">
        <v>4</v>
      </c>
      <c r="AY48" s="28" t="n">
        <v>980</v>
      </c>
      <c r="AZ48" s="28" t="n">
        <v>8911</v>
      </c>
      <c r="BA48" s="28" t="n">
        <v>85</v>
      </c>
      <c r="BB48" s="6" t="n">
        <f aca="false">IF(AU48="Optimal", 1, 0)</f>
        <v>1</v>
      </c>
    </row>
    <row r="49" customFormat="false" ht="12.8" hidden="false" customHeight="false" outlineLevel="0" collapsed="false">
      <c r="A49" s="1" t="n">
        <v>5</v>
      </c>
      <c r="B49" s="23" t="s">
        <v>49</v>
      </c>
      <c r="C49" s="24" t="s">
        <v>101</v>
      </c>
      <c r="D49" s="25" t="n">
        <v>80</v>
      </c>
      <c r="E49" s="25" t="n">
        <v>254</v>
      </c>
      <c r="F49" s="25" t="n">
        <v>38</v>
      </c>
      <c r="G49" s="25" t="n">
        <v>1</v>
      </c>
      <c r="H49" s="3" t="n">
        <v>1</v>
      </c>
      <c r="I49" s="26" t="n">
        <v>0.06</v>
      </c>
      <c r="J49" s="26" t="n">
        <f aca="false">IF(I49="tl", 0, 1)</f>
        <v>1</v>
      </c>
      <c r="K49" s="26" t="n">
        <v>2.64</v>
      </c>
      <c r="L49" s="26" t="n">
        <f aca="false">IF(K49="tl", 0, 1)</f>
        <v>1</v>
      </c>
      <c r="M49" s="26" t="n">
        <v>0</v>
      </c>
      <c r="N49" s="26" t="n">
        <f aca="false">IF(M49="tl", 0, 1)</f>
        <v>1</v>
      </c>
      <c r="P49" s="23" t="n">
        <v>0</v>
      </c>
      <c r="Q49" s="23"/>
      <c r="R49" s="2" t="n">
        <f aca="false">IF(S49=C49, 1, 0)</f>
        <v>1</v>
      </c>
      <c r="S49" s="27" t="s">
        <v>101</v>
      </c>
      <c r="T49" s="27" t="n">
        <v>80</v>
      </c>
      <c r="U49" s="27" t="n">
        <v>254</v>
      </c>
      <c r="V49" s="3" t="s">
        <v>51</v>
      </c>
      <c r="W49" s="30" t="n">
        <v>1</v>
      </c>
      <c r="X49" s="3" t="n">
        <v>1</v>
      </c>
      <c r="Y49" s="3" t="n">
        <v>1.87583</v>
      </c>
      <c r="Z49" s="3" t="n">
        <v>0.688049</v>
      </c>
      <c r="AA49" s="3" t="n">
        <v>566</v>
      </c>
      <c r="AB49" s="3" t="n">
        <v>1</v>
      </c>
      <c r="AC49" s="3" t="n">
        <v>1096</v>
      </c>
      <c r="AD49" s="3" t="n">
        <v>1859</v>
      </c>
      <c r="AE49" s="3" t="n">
        <v>232</v>
      </c>
      <c r="AF49" s="3" t="n">
        <v>0</v>
      </c>
      <c r="AG49" s="3" t="n">
        <v>0</v>
      </c>
      <c r="AH49" s="3" t="n">
        <v>-1</v>
      </c>
      <c r="AI49" s="3" t="n">
        <v>-1</v>
      </c>
      <c r="AJ49" s="2" t="n">
        <f aca="false">IF(V49="Optimal", 1, 0)</f>
        <v>1</v>
      </c>
      <c r="AK49" s="3" t="n">
        <f aca="false">IF(AJ49=1, W49-G49)</f>
        <v>0</v>
      </c>
      <c r="AL49" s="4" t="n">
        <f aca="false">IF(AND(AH49&lt;&gt;-1, G49&lt;&gt;"-", G49&lt;&gt;"."), ((G49-AH49)/G49)*100, -1)</f>
        <v>-1</v>
      </c>
      <c r="AN49" s="5" t="n">
        <f aca="false">IF(AND(AO49=C49, A49=AP49), 1, 0)</f>
        <v>1</v>
      </c>
      <c r="AO49" s="5" t="s">
        <v>101</v>
      </c>
      <c r="AP49" s="5" t="n">
        <v>5</v>
      </c>
      <c r="AQ49" s="5" t="n">
        <v>3600</v>
      </c>
      <c r="AR49" s="5" t="n">
        <v>80</v>
      </c>
      <c r="AS49" s="5" t="n">
        <v>254</v>
      </c>
      <c r="AT49" s="28" t="n">
        <v>3.94741</v>
      </c>
      <c r="AU49" s="28" t="s">
        <v>51</v>
      </c>
      <c r="AV49" s="28" t="n">
        <v>79</v>
      </c>
      <c r="AW49" s="28" t="n">
        <v>79</v>
      </c>
      <c r="AX49" s="28" t="n">
        <v>1</v>
      </c>
      <c r="AY49" s="28" t="n">
        <v>400</v>
      </c>
      <c r="AZ49" s="28" t="n">
        <v>1407</v>
      </c>
      <c r="BA49" s="28" t="n">
        <v>1</v>
      </c>
      <c r="BB49" s="6" t="n">
        <f aca="false">IF(AU49="Optimal", 1, 0)</f>
        <v>1</v>
      </c>
    </row>
    <row r="50" customFormat="false" ht="12.8" hidden="false" customHeight="false" outlineLevel="0" collapsed="false">
      <c r="A50" s="1" t="n">
        <v>5</v>
      </c>
      <c r="B50" s="23" t="s">
        <v>64</v>
      </c>
      <c r="C50" s="24" t="s">
        <v>102</v>
      </c>
      <c r="D50" s="25" t="n">
        <v>34</v>
      </c>
      <c r="E50" s="25" t="n">
        <v>78</v>
      </c>
      <c r="F50" s="25" t="n">
        <v>20</v>
      </c>
      <c r="G50" s="25" t="n">
        <v>2</v>
      </c>
      <c r="H50" s="3" t="n">
        <v>1</v>
      </c>
      <c r="I50" s="26" t="n">
        <v>0.03</v>
      </c>
      <c r="J50" s="26" t="n">
        <f aca="false">IF(I50="tl", 0, 1)</f>
        <v>1</v>
      </c>
      <c r="K50" s="26" t="n">
        <v>0.09</v>
      </c>
      <c r="L50" s="26" t="n">
        <f aca="false">IF(K50="tl", 0, 1)</f>
        <v>1</v>
      </c>
      <c r="M50" s="26" t="n">
        <v>0</v>
      </c>
      <c r="N50" s="26" t="n">
        <f aca="false">IF(M50="tl", 0, 1)</f>
        <v>1</v>
      </c>
      <c r="P50" s="23" t="n">
        <v>0</v>
      </c>
      <c r="Q50" s="23"/>
      <c r="R50" s="2" t="n">
        <f aca="false">IF(S50=C50, 1, 0)</f>
        <v>1</v>
      </c>
      <c r="S50" s="27" t="s">
        <v>102</v>
      </c>
      <c r="T50" s="27" t="n">
        <v>34</v>
      </c>
      <c r="U50" s="27" t="n">
        <v>78</v>
      </c>
      <c r="V50" s="3" t="s">
        <v>51</v>
      </c>
      <c r="W50" s="3" t="n">
        <v>2</v>
      </c>
      <c r="X50" s="3" t="n">
        <v>2</v>
      </c>
      <c r="Y50" s="3" t="n">
        <v>0.307826</v>
      </c>
      <c r="Z50" s="3" t="n">
        <v>0.12493</v>
      </c>
      <c r="AA50" s="3" t="n">
        <v>157</v>
      </c>
      <c r="AB50" s="3" t="n">
        <v>1</v>
      </c>
      <c r="AC50" s="3" t="n">
        <v>346</v>
      </c>
      <c r="AD50" s="3" t="n">
        <v>581</v>
      </c>
      <c r="AE50" s="3" t="n">
        <v>45</v>
      </c>
      <c r="AF50" s="3" t="n">
        <v>0</v>
      </c>
      <c r="AG50" s="3" t="n">
        <v>0</v>
      </c>
      <c r="AH50" s="3" t="n">
        <v>-1</v>
      </c>
      <c r="AI50" s="3" t="n">
        <v>-1</v>
      </c>
      <c r="AJ50" s="2" t="n">
        <f aca="false">IF(V50="Optimal", 1, 0)</f>
        <v>1</v>
      </c>
      <c r="AK50" s="3" t="n">
        <f aca="false">IF(AJ50=1, W50-G50)</f>
        <v>0</v>
      </c>
      <c r="AL50" s="4" t="n">
        <f aca="false">IF(AND(AH50&lt;&gt;-1, G50&lt;&gt;"-", G50&lt;&gt;"."), ((G50-AH50)/G50)*100, -1)</f>
        <v>-1</v>
      </c>
      <c r="AN50" s="5" t="n">
        <f aca="false">IF(AND(AO50=C50, A50=AP50), 1, 0)</f>
        <v>1</v>
      </c>
      <c r="AO50" s="5" t="s">
        <v>102</v>
      </c>
      <c r="AP50" s="5" t="n">
        <v>5</v>
      </c>
      <c r="AQ50" s="5" t="n">
        <v>3600</v>
      </c>
      <c r="AR50" s="5" t="n">
        <v>34</v>
      </c>
      <c r="AS50" s="5" t="n">
        <v>78</v>
      </c>
      <c r="AT50" s="28" t="n">
        <v>1.61676</v>
      </c>
      <c r="AU50" s="28" t="s">
        <v>51</v>
      </c>
      <c r="AV50" s="28" t="n">
        <v>32</v>
      </c>
      <c r="AW50" s="28" t="n">
        <v>32</v>
      </c>
      <c r="AX50" s="28" t="n">
        <v>2</v>
      </c>
      <c r="AY50" s="28" t="n">
        <v>170</v>
      </c>
      <c r="AZ50" s="28" t="n">
        <v>303</v>
      </c>
      <c r="BA50" s="28" t="n">
        <v>9</v>
      </c>
      <c r="BB50" s="6" t="n">
        <f aca="false">IF(AU50="Optimal", 1, 0)</f>
        <v>1</v>
      </c>
    </row>
    <row r="51" customFormat="false" ht="12.8" hidden="false" customHeight="false" outlineLevel="0" collapsed="false">
      <c r="A51" s="1" t="n">
        <v>5</v>
      </c>
      <c r="B51" s="23" t="s">
        <v>67</v>
      </c>
      <c r="C51" s="24" t="s">
        <v>103</v>
      </c>
      <c r="D51" s="25" t="n">
        <v>100</v>
      </c>
      <c r="E51" s="25" t="n">
        <v>1844</v>
      </c>
      <c r="F51" s="25" t="n">
        <v>36</v>
      </c>
      <c r="G51" s="25" t="n">
        <v>10</v>
      </c>
      <c r="H51" s="3" t="n">
        <v>1</v>
      </c>
      <c r="I51" s="25" t="n">
        <v>0.86</v>
      </c>
      <c r="J51" s="26" t="n">
        <f aca="false">IF(I51="tl", 0, 1)</f>
        <v>1</v>
      </c>
      <c r="K51" s="25" t="s">
        <v>53</v>
      </c>
      <c r="L51" s="26" t="n">
        <f aca="false">IF(K51="tl", 0, 1)</f>
        <v>0</v>
      </c>
      <c r="M51" s="25" t="n">
        <v>0.4</v>
      </c>
      <c r="N51" s="26" t="n">
        <f aca="false">IF(M51="tl", 0, 1)</f>
        <v>1</v>
      </c>
      <c r="P51" s="23" t="n">
        <v>0</v>
      </c>
      <c r="Q51" s="23"/>
      <c r="R51" s="2" t="n">
        <f aca="false">IF(S51=C51, 1, 0)</f>
        <v>1</v>
      </c>
      <c r="S51" s="27" t="s">
        <v>103</v>
      </c>
      <c r="T51" s="27" t="n">
        <v>100</v>
      </c>
      <c r="U51" s="27" t="n">
        <v>1844</v>
      </c>
      <c r="V51" s="3" t="s">
        <v>54</v>
      </c>
      <c r="W51" s="3" t="n">
        <v>73</v>
      </c>
      <c r="X51" s="3" t="n">
        <v>5.08247</v>
      </c>
      <c r="Y51" s="3" t="n">
        <v>1800.01</v>
      </c>
      <c r="Z51" s="3" t="n">
        <v>69.1946</v>
      </c>
      <c r="AA51" s="3" t="n">
        <v>5782</v>
      </c>
      <c r="AB51" s="3" t="n">
        <v>4</v>
      </c>
      <c r="AC51" s="3" t="n">
        <v>7476</v>
      </c>
      <c r="AD51" s="3" t="n">
        <v>13009</v>
      </c>
      <c r="AE51" s="3" t="n">
        <v>4</v>
      </c>
      <c r="AF51" s="3" t="n">
        <v>0</v>
      </c>
      <c r="AG51" s="3" t="n">
        <v>2</v>
      </c>
      <c r="AH51" s="3" t="n">
        <v>4.08163</v>
      </c>
      <c r="AI51" s="3" t="n">
        <v>73</v>
      </c>
      <c r="AJ51" s="2" t="n">
        <f aca="false">IF(V51="Optimal", 1, 0)</f>
        <v>0</v>
      </c>
      <c r="AK51" s="29" t="b">
        <f aca="false">IF(AJ51=1, W51-G51)</f>
        <v>0</v>
      </c>
      <c r="AL51" s="4" t="n">
        <f aca="false">IF(AND(AH51&lt;&gt;-1, G51&lt;&gt;"-", G51&lt;&gt;"."), ((G51-AH51)/G51)*100, -1)</f>
        <v>59.1837</v>
      </c>
      <c r="AN51" s="5" t="n">
        <f aca="false">IF(AND(AO51=C51, A51=AP51), 1, 0)</f>
        <v>1</v>
      </c>
      <c r="AO51" s="5" t="s">
        <v>103</v>
      </c>
      <c r="AP51" s="5" t="n">
        <v>5</v>
      </c>
      <c r="AQ51" s="5" t="n">
        <v>3600</v>
      </c>
      <c r="AR51" s="5" t="n">
        <v>100</v>
      </c>
      <c r="AS51" s="5" t="n">
        <v>1844</v>
      </c>
      <c r="AT51" s="28" t="n">
        <v>104.737</v>
      </c>
      <c r="AU51" s="28" t="s">
        <v>51</v>
      </c>
      <c r="AV51" s="28" t="n">
        <v>90</v>
      </c>
      <c r="AW51" s="28" t="n">
        <v>90</v>
      </c>
      <c r="AX51" s="28" t="n">
        <v>10</v>
      </c>
      <c r="AY51" s="28" t="n">
        <v>500</v>
      </c>
      <c r="AZ51" s="28" t="n">
        <v>8787</v>
      </c>
      <c r="BA51" s="28" t="n">
        <v>21</v>
      </c>
      <c r="BB51" s="6" t="n">
        <f aca="false">IF(AU51="Optimal", 1, 0)</f>
        <v>1</v>
      </c>
    </row>
    <row r="52" customFormat="false" ht="12.8" hidden="false" customHeight="false" outlineLevel="0" collapsed="false">
      <c r="A52" s="1" t="n">
        <v>5</v>
      </c>
      <c r="B52" s="23" t="s">
        <v>67</v>
      </c>
      <c r="C52" s="24" t="s">
        <v>104</v>
      </c>
      <c r="D52" s="25" t="n">
        <v>100</v>
      </c>
      <c r="E52" s="25" t="n">
        <v>2031</v>
      </c>
      <c r="F52" s="25" t="n">
        <v>5</v>
      </c>
      <c r="G52" s="25" t="s">
        <v>86</v>
      </c>
      <c r="H52" s="3" t="n">
        <v>1</v>
      </c>
      <c r="I52" s="25" t="s">
        <v>86</v>
      </c>
      <c r="J52" s="26" t="n">
        <f aca="false">IF(I52="tl", 0, 1)</f>
        <v>1</v>
      </c>
      <c r="K52" s="25" t="s">
        <v>86</v>
      </c>
      <c r="L52" s="26" t="n">
        <f aca="false">IF(K52="tl", 0, 1)</f>
        <v>1</v>
      </c>
      <c r="M52" s="25" t="s">
        <v>86</v>
      </c>
      <c r="N52" s="26" t="n">
        <f aca="false">IF(M52="tl", 0, 1)</f>
        <v>1</v>
      </c>
      <c r="P52" s="23" t="n">
        <v>66</v>
      </c>
      <c r="Q52" s="23"/>
      <c r="R52" s="2" t="n">
        <f aca="false">IF(S52=C52, 1, 0)</f>
        <v>1</v>
      </c>
      <c r="S52" s="27" t="s">
        <v>104</v>
      </c>
      <c r="T52" s="27" t="n">
        <v>100</v>
      </c>
      <c r="U52" s="27" t="n">
        <v>2031</v>
      </c>
      <c r="V52" s="3" t="s">
        <v>54</v>
      </c>
      <c r="W52" s="30" t="n">
        <v>93</v>
      </c>
      <c r="X52" s="3" t="n">
        <v>5.08247</v>
      </c>
      <c r="Y52" s="3" t="n">
        <v>1800.12</v>
      </c>
      <c r="Z52" s="3" t="n">
        <v>103.333</v>
      </c>
      <c r="AA52" s="3" t="n">
        <v>7777</v>
      </c>
      <c r="AB52" s="3" t="n">
        <v>5</v>
      </c>
      <c r="AC52" s="3" t="n">
        <v>8224</v>
      </c>
      <c r="AD52" s="3" t="n">
        <v>14318</v>
      </c>
      <c r="AE52" s="3" t="n">
        <v>4</v>
      </c>
      <c r="AF52" s="3" t="n">
        <v>0</v>
      </c>
      <c r="AG52" s="3" t="n">
        <v>3</v>
      </c>
      <c r="AH52" s="3" t="n">
        <v>4.08163</v>
      </c>
      <c r="AI52" s="3" t="n">
        <v>93</v>
      </c>
      <c r="AJ52" s="2" t="n">
        <f aca="false">IF(V52="Optimal", 1, 0)</f>
        <v>0</v>
      </c>
      <c r="AK52" s="29" t="b">
        <f aca="false">IF(AJ52=1, W52-G52)</f>
        <v>0</v>
      </c>
      <c r="AL52" s="4" t="n">
        <f aca="false">IF(AND(AH52&lt;&gt;-1, G52&lt;&gt;"-", G52&lt;&gt;"."), ((G52-AH52)/G52)*100, -1)</f>
        <v>-1</v>
      </c>
      <c r="AN52" s="5" t="n">
        <f aca="false">IF(AND(AO52=C52, A52=AP52), 1, 0)</f>
        <v>1</v>
      </c>
      <c r="AO52" s="5" t="s">
        <v>104</v>
      </c>
      <c r="AP52" s="5" t="n">
        <v>5</v>
      </c>
      <c r="AQ52" s="5" t="n">
        <v>3600</v>
      </c>
      <c r="AR52" s="5" t="n">
        <v>100</v>
      </c>
      <c r="AS52" s="5" t="n">
        <v>2031</v>
      </c>
      <c r="AT52" s="28" t="n">
        <v>3600</v>
      </c>
      <c r="AU52" s="28" t="s">
        <v>54</v>
      </c>
      <c r="AV52" s="28" t="n">
        <v>84.5353</v>
      </c>
      <c r="AW52" s="28" t="n">
        <v>34</v>
      </c>
      <c r="AX52" s="28" t="n">
        <v>66</v>
      </c>
      <c r="AY52" s="28" t="n">
        <v>478</v>
      </c>
      <c r="AZ52" s="28" t="n">
        <v>16370</v>
      </c>
      <c r="BA52" s="28" t="n">
        <v>45541</v>
      </c>
      <c r="BB52" s="6" t="n">
        <f aca="false">IF(AU52="Optimal", 1, 0)</f>
        <v>0</v>
      </c>
    </row>
    <row r="53" customFormat="false" ht="12.8" hidden="false" customHeight="false" outlineLevel="0" collapsed="false">
      <c r="A53" s="1" t="n">
        <v>5</v>
      </c>
      <c r="B53" s="23" t="s">
        <v>67</v>
      </c>
      <c r="C53" s="24" t="s">
        <v>105</v>
      </c>
      <c r="D53" s="25" t="n">
        <v>100</v>
      </c>
      <c r="E53" s="25" t="n">
        <v>3090</v>
      </c>
      <c r="F53" s="25" t="n">
        <v>5</v>
      </c>
      <c r="G53" s="25" t="n">
        <v>80</v>
      </c>
      <c r="H53" s="3" t="n">
        <v>1</v>
      </c>
      <c r="I53" s="25" t="n">
        <v>0.6</v>
      </c>
      <c r="J53" s="26" t="n">
        <f aca="false">IF(I53="tl", 0, 1)</f>
        <v>1</v>
      </c>
      <c r="K53" s="25" t="n">
        <v>15.62</v>
      </c>
      <c r="L53" s="26" t="n">
        <f aca="false">IF(K53="tl", 0, 1)</f>
        <v>1</v>
      </c>
      <c r="M53" s="25" t="n">
        <v>0.23</v>
      </c>
      <c r="N53" s="26" t="n">
        <f aca="false">IF(M53="tl", 0, 1)</f>
        <v>1</v>
      </c>
      <c r="P53" s="23" t="n">
        <v>57</v>
      </c>
      <c r="Q53" s="23"/>
      <c r="R53" s="2" t="n">
        <f aca="false">IF(S53=C53, 1, 0)</f>
        <v>1</v>
      </c>
      <c r="S53" s="27" t="s">
        <v>105</v>
      </c>
      <c r="T53" s="27" t="n">
        <v>100</v>
      </c>
      <c r="U53" s="27" t="n">
        <v>3090</v>
      </c>
      <c r="V53" s="3" t="s">
        <v>54</v>
      </c>
      <c r="W53" s="30" t="n">
        <v>94</v>
      </c>
      <c r="X53" s="30" t="n">
        <v>5.08247</v>
      </c>
      <c r="Y53" s="3" t="n">
        <v>1800.1</v>
      </c>
      <c r="Z53" s="3" t="n">
        <v>82.5369</v>
      </c>
      <c r="AA53" s="3" t="n">
        <v>5883</v>
      </c>
      <c r="AB53" s="3" t="n">
        <v>6</v>
      </c>
      <c r="AC53" s="3" t="n">
        <v>12460</v>
      </c>
      <c r="AD53" s="3" t="n">
        <v>21731</v>
      </c>
      <c r="AE53" s="3" t="n">
        <v>5</v>
      </c>
      <c r="AF53" s="3" t="n">
        <v>0</v>
      </c>
      <c r="AG53" s="3" t="n">
        <v>4</v>
      </c>
      <c r="AH53" s="3" t="n">
        <v>4.08163</v>
      </c>
      <c r="AI53" s="3" t="n">
        <v>94</v>
      </c>
      <c r="AJ53" s="2" t="n">
        <f aca="false">IF(V53="Optimal", 1, 0)</f>
        <v>0</v>
      </c>
      <c r="AK53" s="29" t="b">
        <f aca="false">IF(AJ53=1, W53-G53)</f>
        <v>0</v>
      </c>
      <c r="AL53" s="4" t="n">
        <f aca="false">IF(AND(AH53&lt;&gt;-1, G53&lt;&gt;"-", G53&lt;&gt;"."), ((G53-AH53)/G53)*100, -1)</f>
        <v>94.8979625</v>
      </c>
      <c r="AN53" s="5" t="n">
        <f aca="false">IF(AND(AO53=C53, A53=AP53), 1, 0)</f>
        <v>1</v>
      </c>
      <c r="AO53" s="5" t="s">
        <v>105</v>
      </c>
      <c r="AP53" s="5" t="n">
        <v>5</v>
      </c>
      <c r="AQ53" s="5" t="n">
        <v>3600</v>
      </c>
      <c r="AR53" s="5" t="n">
        <v>100</v>
      </c>
      <c r="AS53" s="5" t="n">
        <v>3090</v>
      </c>
      <c r="AT53" s="28" t="n">
        <v>304.153</v>
      </c>
      <c r="AU53" s="28" t="s">
        <v>51</v>
      </c>
      <c r="AV53" s="28" t="n">
        <v>20</v>
      </c>
      <c r="AW53" s="28" t="n">
        <v>20</v>
      </c>
      <c r="AX53" s="28" t="n">
        <v>80</v>
      </c>
      <c r="AY53" s="28" t="n">
        <v>338</v>
      </c>
      <c r="AZ53" s="28" t="n">
        <v>2699</v>
      </c>
      <c r="BA53" s="28" t="n">
        <v>1089</v>
      </c>
      <c r="BB53" s="6" t="n">
        <f aca="false">IF(AU53="Optimal", 1, 0)</f>
        <v>1</v>
      </c>
    </row>
    <row r="54" customFormat="false" ht="12.8" hidden="false" customHeight="false" outlineLevel="0" collapsed="false">
      <c r="A54" s="1" t="n">
        <v>5</v>
      </c>
      <c r="B54" s="23" t="s">
        <v>67</v>
      </c>
      <c r="C54" s="24" t="s">
        <v>106</v>
      </c>
      <c r="D54" s="25" t="n">
        <v>100</v>
      </c>
      <c r="E54" s="25" t="n">
        <v>2550</v>
      </c>
      <c r="F54" s="25" t="n">
        <v>5</v>
      </c>
      <c r="G54" s="25" t="n">
        <v>66</v>
      </c>
      <c r="H54" s="3" t="n">
        <v>1</v>
      </c>
      <c r="I54" s="25" t="n">
        <v>0.03</v>
      </c>
      <c r="J54" s="26" t="n">
        <f aca="false">IF(I54="tl", 0, 1)</f>
        <v>1</v>
      </c>
      <c r="K54" s="25" t="n">
        <v>22.14</v>
      </c>
      <c r="L54" s="26" t="n">
        <f aca="false">IF(K54="tl", 0, 1)</f>
        <v>1</v>
      </c>
      <c r="M54" s="25" t="n">
        <v>0.14</v>
      </c>
      <c r="N54" s="26" t="n">
        <f aca="false">IF(M54="tl", 0, 1)</f>
        <v>1</v>
      </c>
      <c r="P54" s="23" t="n">
        <v>64</v>
      </c>
      <c r="Q54" s="23"/>
      <c r="R54" s="2" t="n">
        <f aca="false">IF(S54=C54, 1, 0)</f>
        <v>1</v>
      </c>
      <c r="S54" s="27" t="s">
        <v>106</v>
      </c>
      <c r="T54" s="27" t="n">
        <v>100</v>
      </c>
      <c r="U54" s="27" t="n">
        <v>2550</v>
      </c>
      <c r="V54" s="3" t="s">
        <v>54</v>
      </c>
      <c r="W54" s="30" t="n">
        <v>1E+020</v>
      </c>
      <c r="X54" s="3" t="n">
        <v>4.08163</v>
      </c>
      <c r="Y54" s="3" t="n">
        <v>1800.04</v>
      </c>
      <c r="Z54" s="3" t="n">
        <v>130.135</v>
      </c>
      <c r="AA54" s="3" t="n">
        <v>6165</v>
      </c>
      <c r="AB54" s="3" t="n">
        <v>7</v>
      </c>
      <c r="AC54" s="3" t="n">
        <v>10300</v>
      </c>
      <c r="AD54" s="3" t="n">
        <v>17951</v>
      </c>
      <c r="AE54" s="3" t="n">
        <v>17</v>
      </c>
      <c r="AF54" s="3" t="n">
        <v>0</v>
      </c>
      <c r="AG54" s="3" t="n">
        <v>5</v>
      </c>
      <c r="AH54" s="3" t="n">
        <v>4.08163</v>
      </c>
      <c r="AI54" s="30" t="n">
        <v>1E+020</v>
      </c>
      <c r="AJ54" s="2" t="n">
        <f aca="false">IF(V54="Optimal", 1, 0)</f>
        <v>0</v>
      </c>
      <c r="AK54" s="29" t="b">
        <f aca="false">IF(AJ54=1, W54-G54)</f>
        <v>0</v>
      </c>
      <c r="AL54" s="4" t="n">
        <f aca="false">IF(AND(AH54&lt;&gt;-1, G54&lt;&gt;"-", G54&lt;&gt;"."), ((G54-AH54)/G54)*100, -1)</f>
        <v>93.8157121212121</v>
      </c>
      <c r="AN54" s="5" t="n">
        <f aca="false">IF(AND(AO54=C54, A54=AP54), 1, 0)</f>
        <v>1</v>
      </c>
      <c r="AO54" s="5" t="s">
        <v>106</v>
      </c>
      <c r="AP54" s="5" t="n">
        <v>5</v>
      </c>
      <c r="AQ54" s="5" t="n">
        <v>3600</v>
      </c>
      <c r="AR54" s="5" t="n">
        <v>100</v>
      </c>
      <c r="AS54" s="5" t="n">
        <v>2550</v>
      </c>
      <c r="AT54" s="28" t="n">
        <v>3.95737</v>
      </c>
      <c r="AU54" s="28" t="s">
        <v>51</v>
      </c>
      <c r="AV54" s="28" t="n">
        <v>34</v>
      </c>
      <c r="AW54" s="28" t="n">
        <v>34</v>
      </c>
      <c r="AX54" s="28" t="n">
        <v>66</v>
      </c>
      <c r="AY54" s="28" t="n">
        <v>36</v>
      </c>
      <c r="AZ54" s="28" t="n">
        <v>6</v>
      </c>
      <c r="BA54" s="28" t="n">
        <v>1</v>
      </c>
      <c r="BB54" s="6" t="n">
        <f aca="false">IF(AU54="Optimal", 1, 0)</f>
        <v>1</v>
      </c>
    </row>
    <row r="55" customFormat="false" ht="12.8" hidden="false" customHeight="false" outlineLevel="0" collapsed="false">
      <c r="A55" s="1" t="n">
        <v>5</v>
      </c>
      <c r="B55" s="23" t="s">
        <v>67</v>
      </c>
      <c r="C55" s="24" t="s">
        <v>107</v>
      </c>
      <c r="D55" s="25" t="n">
        <v>100</v>
      </c>
      <c r="E55" s="25" t="n">
        <v>1766</v>
      </c>
      <c r="F55" s="25" t="n">
        <v>6</v>
      </c>
      <c r="G55" s="25" t="n">
        <v>56</v>
      </c>
      <c r="H55" s="3" t="n">
        <v>1</v>
      </c>
      <c r="I55" s="25" t="n">
        <v>290.48</v>
      </c>
      <c r="J55" s="26" t="n">
        <f aca="false">IF(I55="tl", 0, 1)</f>
        <v>1</v>
      </c>
      <c r="K55" s="25" t="s">
        <v>53</v>
      </c>
      <c r="L55" s="26" t="n">
        <f aca="false">IF(K55="tl", 0, 1)</f>
        <v>0</v>
      </c>
      <c r="M55" s="25" t="s">
        <v>53</v>
      </c>
      <c r="N55" s="26" t="n">
        <f aca="false">IF(M55="tl", 0, 1)</f>
        <v>0</v>
      </c>
      <c r="P55" s="23" t="n">
        <v>0</v>
      </c>
      <c r="Q55" s="23"/>
      <c r="R55" s="2" t="n">
        <f aca="false">IF(S55=C55, 1, 0)</f>
        <v>1</v>
      </c>
      <c r="S55" s="27" t="s">
        <v>107</v>
      </c>
      <c r="T55" s="27" t="n">
        <v>100</v>
      </c>
      <c r="U55" s="27" t="n">
        <v>1766</v>
      </c>
      <c r="V55" s="3" t="s">
        <v>54</v>
      </c>
      <c r="W55" s="3" t="n">
        <v>93</v>
      </c>
      <c r="X55" s="3" t="n">
        <v>4.08163</v>
      </c>
      <c r="Y55" s="3" t="n">
        <v>1800</v>
      </c>
      <c r="Z55" s="3" t="n">
        <v>58.9793</v>
      </c>
      <c r="AA55" s="3" t="n">
        <v>4290</v>
      </c>
      <c r="AB55" s="3" t="n">
        <v>3</v>
      </c>
      <c r="AC55" s="3" t="n">
        <v>7164</v>
      </c>
      <c r="AD55" s="3" t="n">
        <v>12463</v>
      </c>
      <c r="AE55" s="3" t="n">
        <v>24</v>
      </c>
      <c r="AF55" s="3" t="n">
        <v>0</v>
      </c>
      <c r="AG55" s="3" t="n">
        <v>1</v>
      </c>
      <c r="AH55" s="3" t="n">
        <v>4.08163</v>
      </c>
      <c r="AI55" s="3" t="n">
        <v>93</v>
      </c>
      <c r="AJ55" s="2" t="n">
        <f aca="false">IF(V55="Optimal", 1, 0)</f>
        <v>0</v>
      </c>
      <c r="AK55" s="29" t="b">
        <f aca="false">IF(AJ55=1, W55-G55)</f>
        <v>0</v>
      </c>
      <c r="AL55" s="4" t="n">
        <f aca="false">IF(AND(AH55&lt;&gt;-1, G55&lt;&gt;"-", G55&lt;&gt;"."), ((G55-AH55)/G55)*100, -1)</f>
        <v>92.711375</v>
      </c>
      <c r="AN55" s="5" t="n">
        <f aca="false">IF(AND(AO55=C55, A55=AP55), 1, 0)</f>
        <v>1</v>
      </c>
      <c r="AO55" s="5" t="s">
        <v>107</v>
      </c>
      <c r="AP55" s="5" t="n">
        <v>5</v>
      </c>
      <c r="AQ55" s="5" t="n">
        <v>3600</v>
      </c>
      <c r="AR55" s="5" t="n">
        <v>100</v>
      </c>
      <c r="AS55" s="5" t="n">
        <v>1766</v>
      </c>
      <c r="AT55" s="28" t="n">
        <v>3600</v>
      </c>
      <c r="AU55" s="28" t="s">
        <v>54</v>
      </c>
      <c r="AV55" s="28" t="n">
        <v>72.9804</v>
      </c>
      <c r="AW55" s="28" t="n">
        <v>44</v>
      </c>
      <c r="AX55" s="28" t="n">
        <v>56</v>
      </c>
      <c r="AY55" s="28" t="n">
        <v>442</v>
      </c>
      <c r="AZ55" s="28" t="n">
        <v>11907</v>
      </c>
      <c r="BA55" s="28" t="n">
        <v>72114</v>
      </c>
      <c r="BB55" s="6" t="n">
        <f aca="false">IF(AU55="Optimal", 1, 0)</f>
        <v>0</v>
      </c>
    </row>
    <row r="56" customFormat="false" ht="12.8" hidden="false" customHeight="false" outlineLevel="0" collapsed="false">
      <c r="A56" s="1" t="n">
        <v>5</v>
      </c>
      <c r="B56" s="23" t="s">
        <v>67</v>
      </c>
      <c r="C56" s="24" t="s">
        <v>108</v>
      </c>
      <c r="D56" s="25" t="n">
        <v>100</v>
      </c>
      <c r="E56" s="25" t="n">
        <v>2956</v>
      </c>
      <c r="F56" s="25" t="n">
        <v>17</v>
      </c>
      <c r="G56" s="25" t="n">
        <v>15</v>
      </c>
      <c r="H56" s="3" t="n">
        <v>1</v>
      </c>
      <c r="I56" s="25" t="n">
        <v>3.74</v>
      </c>
      <c r="J56" s="26" t="n">
        <f aca="false">IF(I56="tl", 0, 1)</f>
        <v>1</v>
      </c>
      <c r="K56" s="25" t="s">
        <v>53</v>
      </c>
      <c r="L56" s="26" t="n">
        <f aca="false">IF(K56="tl", 0, 1)</f>
        <v>0</v>
      </c>
      <c r="M56" s="25" t="n">
        <v>21.04</v>
      </c>
      <c r="N56" s="26" t="n">
        <f aca="false">IF(M56="tl", 0, 1)</f>
        <v>1</v>
      </c>
      <c r="P56" s="23" t="n">
        <v>0</v>
      </c>
      <c r="Q56" s="23"/>
      <c r="R56" s="2" t="n">
        <f aca="false">IF(S56=C56, 1, 0)</f>
        <v>1</v>
      </c>
      <c r="S56" s="27" t="s">
        <v>108</v>
      </c>
      <c r="T56" s="27" t="n">
        <v>100</v>
      </c>
      <c r="U56" s="27" t="n">
        <v>2956</v>
      </c>
      <c r="V56" s="3" t="s">
        <v>54</v>
      </c>
      <c r="W56" s="3" t="n">
        <v>90</v>
      </c>
      <c r="X56" s="3" t="n">
        <v>4.03125</v>
      </c>
      <c r="Y56" s="3" t="n">
        <v>1800</v>
      </c>
      <c r="Z56" s="3" t="n">
        <v>87.5664</v>
      </c>
      <c r="AA56" s="3" t="n">
        <v>5958</v>
      </c>
      <c r="AB56" s="3" t="n">
        <v>3</v>
      </c>
      <c r="AC56" s="3" t="n">
        <v>11924</v>
      </c>
      <c r="AD56" s="3" t="n">
        <v>20793</v>
      </c>
      <c r="AE56" s="3" t="n">
        <v>4</v>
      </c>
      <c r="AF56" s="3" t="n">
        <v>0</v>
      </c>
      <c r="AG56" s="3" t="n">
        <v>1</v>
      </c>
      <c r="AH56" s="3" t="n">
        <v>4.03125</v>
      </c>
      <c r="AI56" s="3" t="n">
        <v>90</v>
      </c>
      <c r="AJ56" s="2" t="n">
        <f aca="false">IF(V56="Optimal", 1, 0)</f>
        <v>0</v>
      </c>
      <c r="AK56" s="29" t="b">
        <f aca="false">IF(AJ56=1, W56-G56)</f>
        <v>0</v>
      </c>
      <c r="AL56" s="4" t="n">
        <f aca="false">IF(AND(AH56&lt;&gt;-1, G56&lt;&gt;"-", G56&lt;&gt;"."), ((G56-AH56)/G56)*100, -1)</f>
        <v>73.125</v>
      </c>
      <c r="AN56" s="5" t="n">
        <f aca="false">IF(AND(AO56=C56, A56=AP56), 1, 0)</f>
        <v>1</v>
      </c>
      <c r="AO56" s="5" t="s">
        <v>108</v>
      </c>
      <c r="AP56" s="5" t="n">
        <v>5</v>
      </c>
      <c r="AQ56" s="5" t="n">
        <v>3600</v>
      </c>
      <c r="AR56" s="5" t="n">
        <v>100</v>
      </c>
      <c r="AS56" s="5" t="n">
        <v>2956</v>
      </c>
      <c r="AT56" s="28" t="n">
        <v>439.93</v>
      </c>
      <c r="AU56" s="28" t="s">
        <v>51</v>
      </c>
      <c r="AV56" s="28" t="n">
        <v>85</v>
      </c>
      <c r="AW56" s="28" t="n">
        <v>85</v>
      </c>
      <c r="AX56" s="28" t="n">
        <v>15</v>
      </c>
      <c r="AY56" s="28" t="n">
        <v>474</v>
      </c>
      <c r="AZ56" s="28" t="n">
        <v>13326</v>
      </c>
      <c r="BA56" s="28" t="n">
        <v>693</v>
      </c>
      <c r="BB56" s="6" t="n">
        <f aca="false">IF(AU56="Optimal", 1, 0)</f>
        <v>1</v>
      </c>
    </row>
    <row r="57" customFormat="false" ht="12.8" hidden="false" customHeight="false" outlineLevel="0" collapsed="false">
      <c r="A57" s="1" t="n">
        <v>5</v>
      </c>
      <c r="B57" s="23" t="s">
        <v>67</v>
      </c>
      <c r="C57" s="24" t="s">
        <v>109</v>
      </c>
      <c r="D57" s="25" t="n">
        <v>100</v>
      </c>
      <c r="E57" s="25" t="n">
        <v>3039</v>
      </c>
      <c r="F57" s="25" t="n">
        <v>12</v>
      </c>
      <c r="G57" s="25" t="n">
        <v>4</v>
      </c>
      <c r="H57" s="3" t="n">
        <v>1</v>
      </c>
      <c r="I57" s="25" t="n">
        <v>0.1</v>
      </c>
      <c r="J57" s="26" t="n">
        <f aca="false">IF(I57="tl", 0, 1)</f>
        <v>1</v>
      </c>
      <c r="K57" s="25" t="n">
        <v>0.41</v>
      </c>
      <c r="L57" s="26" t="n">
        <f aca="false">IF(K57="tl", 0, 1)</f>
        <v>1</v>
      </c>
      <c r="M57" s="25" t="n">
        <v>0.14</v>
      </c>
      <c r="N57" s="26" t="n">
        <f aca="false">IF(M57="tl", 0, 1)</f>
        <v>1</v>
      </c>
      <c r="P57" s="23" t="n">
        <v>0</v>
      </c>
      <c r="Q57" s="23"/>
      <c r="R57" s="2" t="n">
        <f aca="false">IF(S57=C57, 1, 0)</f>
        <v>1</v>
      </c>
      <c r="S57" s="27" t="s">
        <v>109</v>
      </c>
      <c r="T57" s="27" t="n">
        <v>100</v>
      </c>
      <c r="U57" s="27" t="n">
        <v>3039</v>
      </c>
      <c r="V57" s="3" t="s">
        <v>54</v>
      </c>
      <c r="W57" s="3" t="n">
        <v>16</v>
      </c>
      <c r="X57" s="3" t="n">
        <v>3.83673</v>
      </c>
      <c r="Y57" s="3" t="n">
        <v>1800.18</v>
      </c>
      <c r="Z57" s="3" t="n">
        <v>118.513</v>
      </c>
      <c r="AA57" s="3" t="n">
        <v>7619</v>
      </c>
      <c r="AB57" s="3" t="n">
        <v>3</v>
      </c>
      <c r="AC57" s="3" t="n">
        <v>12256</v>
      </c>
      <c r="AD57" s="3" t="n">
        <v>21374</v>
      </c>
      <c r="AE57" s="3" t="n">
        <v>18</v>
      </c>
      <c r="AF57" s="3" t="n">
        <v>0</v>
      </c>
      <c r="AG57" s="3" t="n">
        <v>1</v>
      </c>
      <c r="AH57" s="3" t="n">
        <v>3.83673</v>
      </c>
      <c r="AI57" s="3" t="n">
        <v>87</v>
      </c>
      <c r="AJ57" s="2" t="n">
        <f aca="false">IF(V57="Optimal", 1, 0)</f>
        <v>0</v>
      </c>
      <c r="AK57" s="29" t="b">
        <f aca="false">IF(AJ57=1, W57-G57)</f>
        <v>0</v>
      </c>
      <c r="AL57" s="4" t="n">
        <f aca="false">IF(AND(AH57&lt;&gt;-1, G57&lt;&gt;"-", G57&lt;&gt;"."), ((G57-AH57)/G57)*100, -1)</f>
        <v>4.08175</v>
      </c>
      <c r="AN57" s="5" t="n">
        <f aca="false">IF(AND(AO57=C57, A57=AP57), 1, 0)</f>
        <v>1</v>
      </c>
      <c r="AO57" s="5" t="s">
        <v>109</v>
      </c>
      <c r="AP57" s="5" t="n">
        <v>5</v>
      </c>
      <c r="AQ57" s="5" t="n">
        <v>3600</v>
      </c>
      <c r="AR57" s="5" t="n">
        <v>100</v>
      </c>
      <c r="AS57" s="5" t="n">
        <v>3039</v>
      </c>
      <c r="AT57" s="28" t="n">
        <v>69.583</v>
      </c>
      <c r="AU57" s="28" t="s">
        <v>51</v>
      </c>
      <c r="AV57" s="28" t="n">
        <v>96</v>
      </c>
      <c r="AW57" s="28" t="n">
        <v>96</v>
      </c>
      <c r="AX57" s="28" t="n">
        <v>4</v>
      </c>
      <c r="AY57" s="28" t="n">
        <v>476</v>
      </c>
      <c r="AZ57" s="28" t="n">
        <v>55</v>
      </c>
      <c r="BA57" s="28" t="n">
        <v>9</v>
      </c>
      <c r="BB57" s="6" t="n">
        <f aca="false">IF(AU57="Optimal", 1, 0)</f>
        <v>1</v>
      </c>
    </row>
    <row r="58" customFormat="false" ht="12.8" hidden="false" customHeight="false" outlineLevel="0" collapsed="false">
      <c r="A58" s="1" t="n">
        <v>5</v>
      </c>
      <c r="B58" s="23" t="s">
        <v>67</v>
      </c>
      <c r="C58" s="24" t="s">
        <v>110</v>
      </c>
      <c r="D58" s="25" t="n">
        <v>100</v>
      </c>
      <c r="E58" s="25" t="n">
        <v>2934</v>
      </c>
      <c r="F58" s="25" t="n">
        <v>15</v>
      </c>
      <c r="G58" s="25" t="n">
        <v>4</v>
      </c>
      <c r="H58" s="3" t="n">
        <v>1</v>
      </c>
      <c r="I58" s="25" t="n">
        <v>0.11</v>
      </c>
      <c r="J58" s="26" t="n">
        <f aca="false">IF(I58="tl", 0, 1)</f>
        <v>1</v>
      </c>
      <c r="K58" s="25" t="n">
        <v>0.39</v>
      </c>
      <c r="L58" s="26" t="n">
        <f aca="false">IF(K58="tl", 0, 1)</f>
        <v>1</v>
      </c>
      <c r="M58" s="25" t="n">
        <v>0.14</v>
      </c>
      <c r="N58" s="26" t="n">
        <f aca="false">IF(M58="tl", 0, 1)</f>
        <v>1</v>
      </c>
      <c r="P58" s="23" t="n">
        <v>0</v>
      </c>
      <c r="Q58" s="23"/>
      <c r="R58" s="2" t="n">
        <f aca="false">IF(S58=C58, 1, 0)</f>
        <v>1</v>
      </c>
      <c r="S58" s="27" t="s">
        <v>110</v>
      </c>
      <c r="T58" s="27" t="n">
        <v>100</v>
      </c>
      <c r="U58" s="27" t="n">
        <v>2934</v>
      </c>
      <c r="V58" s="3" t="s">
        <v>54</v>
      </c>
      <c r="W58" s="3" t="n">
        <v>83</v>
      </c>
      <c r="X58" s="3" t="n">
        <v>3.7551</v>
      </c>
      <c r="Y58" s="3" t="n">
        <v>1800</v>
      </c>
      <c r="Z58" s="3" t="n">
        <v>108.31</v>
      </c>
      <c r="AA58" s="3" t="n">
        <v>7121</v>
      </c>
      <c r="AB58" s="3" t="n">
        <v>3</v>
      </c>
      <c r="AC58" s="3" t="n">
        <v>11836</v>
      </c>
      <c r="AD58" s="3" t="n">
        <v>20639</v>
      </c>
      <c r="AE58" s="3" t="n">
        <v>28</v>
      </c>
      <c r="AF58" s="3" t="n">
        <v>0</v>
      </c>
      <c r="AG58" s="3" t="n">
        <v>1</v>
      </c>
      <c r="AH58" s="3" t="n">
        <v>3.7551</v>
      </c>
      <c r="AI58" s="3" t="n">
        <v>83</v>
      </c>
      <c r="AJ58" s="2" t="n">
        <f aca="false">IF(V58="Optimal", 1, 0)</f>
        <v>0</v>
      </c>
      <c r="AK58" s="29" t="b">
        <f aca="false">IF(AJ58=1, W58-G58)</f>
        <v>0</v>
      </c>
      <c r="AL58" s="4" t="n">
        <f aca="false">IF(AND(AH58&lt;&gt;-1, G58&lt;&gt;"-", G58&lt;&gt;"."), ((G58-AH58)/G58)*100, -1)</f>
        <v>6.1225</v>
      </c>
      <c r="AN58" s="5" t="n">
        <f aca="false">IF(AND(AO58=C58, A58=AP58), 1, 0)</f>
        <v>1</v>
      </c>
      <c r="AO58" s="5" t="s">
        <v>110</v>
      </c>
      <c r="AP58" s="5" t="n">
        <v>5</v>
      </c>
      <c r="AQ58" s="5" t="n">
        <v>3600</v>
      </c>
      <c r="AR58" s="5" t="n">
        <v>100</v>
      </c>
      <c r="AS58" s="5" t="n">
        <v>2934</v>
      </c>
      <c r="AT58" s="28" t="n">
        <v>104.604</v>
      </c>
      <c r="AU58" s="28" t="s">
        <v>51</v>
      </c>
      <c r="AV58" s="28" t="n">
        <v>96</v>
      </c>
      <c r="AW58" s="28" t="n">
        <v>96</v>
      </c>
      <c r="AX58" s="28" t="n">
        <v>4</v>
      </c>
      <c r="AY58" s="28" t="n">
        <v>476</v>
      </c>
      <c r="AZ58" s="28" t="n">
        <v>13888</v>
      </c>
      <c r="BA58" s="28" t="n">
        <v>3</v>
      </c>
      <c r="BB58" s="6" t="n">
        <f aca="false">IF(AU58="Optimal", 1, 0)</f>
        <v>1</v>
      </c>
    </row>
    <row r="59" customFormat="false" ht="12.8" hidden="false" customHeight="false" outlineLevel="0" collapsed="false">
      <c r="A59" s="1" t="n">
        <v>5</v>
      </c>
      <c r="B59" s="23" t="s">
        <v>67</v>
      </c>
      <c r="C59" s="24" t="s">
        <v>111</v>
      </c>
      <c r="D59" s="25" t="n">
        <v>120</v>
      </c>
      <c r="E59" s="25" t="n">
        <v>2972</v>
      </c>
      <c r="F59" s="25" t="n">
        <v>36</v>
      </c>
      <c r="G59" s="25" t="n">
        <v>10</v>
      </c>
      <c r="H59" s="3" t="n">
        <v>1</v>
      </c>
      <c r="I59" s="25" t="n">
        <v>1.03</v>
      </c>
      <c r="J59" s="26" t="n">
        <f aca="false">IF(I59="tl", 0, 1)</f>
        <v>1</v>
      </c>
      <c r="K59" s="25" t="s">
        <v>53</v>
      </c>
      <c r="L59" s="26" t="n">
        <f aca="false">IF(K59="tl", 0, 1)</f>
        <v>0</v>
      </c>
      <c r="M59" s="25" t="n">
        <v>0.68</v>
      </c>
      <c r="N59" s="26" t="n">
        <f aca="false">IF(M59="tl", 0, 1)</f>
        <v>1</v>
      </c>
      <c r="P59" s="23" t="n">
        <v>0</v>
      </c>
      <c r="Q59" s="23"/>
      <c r="R59" s="2" t="n">
        <f aca="false">IF(S59=C59, 1, 0)</f>
        <v>1</v>
      </c>
      <c r="S59" s="27" t="s">
        <v>111</v>
      </c>
      <c r="T59" s="27" t="n">
        <v>120</v>
      </c>
      <c r="U59" s="27" t="n">
        <v>2972</v>
      </c>
      <c r="V59" s="3" t="s">
        <v>54</v>
      </c>
      <c r="W59" s="3" t="n">
        <v>91</v>
      </c>
      <c r="X59" s="3" t="n">
        <v>4.0678</v>
      </c>
      <c r="Y59" s="3" t="n">
        <v>1800</v>
      </c>
      <c r="Z59" s="3" t="n">
        <v>38.9923</v>
      </c>
      <c r="AA59" s="3" t="n">
        <v>4284</v>
      </c>
      <c r="AB59" s="3" t="n">
        <v>3</v>
      </c>
      <c r="AC59" s="3" t="n">
        <v>12008</v>
      </c>
      <c r="AD59" s="3" t="n">
        <v>20925</v>
      </c>
      <c r="AE59" s="3" t="n">
        <v>6</v>
      </c>
      <c r="AF59" s="3" t="n">
        <v>0</v>
      </c>
      <c r="AG59" s="3" t="n">
        <v>1</v>
      </c>
      <c r="AH59" s="3" t="n">
        <v>4.0678</v>
      </c>
      <c r="AI59" s="3" t="n">
        <v>91</v>
      </c>
      <c r="AJ59" s="2" t="n">
        <f aca="false">IF(V59="Optimal", 1, 0)</f>
        <v>0</v>
      </c>
      <c r="AK59" s="29" t="b">
        <f aca="false">IF(AJ59=1, W59-G59)</f>
        <v>0</v>
      </c>
      <c r="AL59" s="4" t="n">
        <f aca="false">IF(AND(AH59&lt;&gt;-1, G59&lt;&gt;"-", G59&lt;&gt;"."), ((G59-AH59)/G59)*100, -1)</f>
        <v>59.322</v>
      </c>
      <c r="AN59" s="5" t="n">
        <f aca="false">IF(AND(AO59=C59, A59=AP59), 1, 0)</f>
        <v>1</v>
      </c>
      <c r="AO59" s="5" t="s">
        <v>111</v>
      </c>
      <c r="AP59" s="5" t="n">
        <v>5</v>
      </c>
      <c r="AQ59" s="5" t="n">
        <v>3600</v>
      </c>
      <c r="AR59" s="5" t="n">
        <v>120</v>
      </c>
      <c r="AS59" s="5" t="n">
        <v>2972</v>
      </c>
      <c r="AT59" s="28" t="n">
        <v>259.111</v>
      </c>
      <c r="AU59" s="28" t="s">
        <v>51</v>
      </c>
      <c r="AV59" s="28" t="n">
        <v>110</v>
      </c>
      <c r="AW59" s="28" t="n">
        <v>110</v>
      </c>
      <c r="AX59" s="28" t="n">
        <v>10</v>
      </c>
      <c r="AY59" s="28" t="n">
        <v>600</v>
      </c>
      <c r="AZ59" s="28" t="n">
        <v>9118</v>
      </c>
      <c r="BA59" s="28" t="n">
        <v>203</v>
      </c>
      <c r="BB59" s="6" t="n">
        <f aca="false">IF(AU59="Optimal", 1, 0)</f>
        <v>1</v>
      </c>
    </row>
    <row r="60" customFormat="false" ht="12.8" hidden="false" customHeight="false" outlineLevel="0" collapsed="false">
      <c r="A60" s="1" t="n">
        <v>5</v>
      </c>
      <c r="B60" s="23" t="s">
        <v>67</v>
      </c>
      <c r="C60" s="24" t="s">
        <v>112</v>
      </c>
      <c r="D60" s="25" t="n">
        <v>120</v>
      </c>
      <c r="E60" s="25" t="n">
        <v>4307</v>
      </c>
      <c r="F60" s="25" t="n">
        <v>5</v>
      </c>
      <c r="G60" s="25" t="n">
        <v>87</v>
      </c>
      <c r="H60" s="3" t="n">
        <v>1</v>
      </c>
      <c r="I60" s="25" t="n">
        <v>0.05</v>
      </c>
      <c r="J60" s="26" t="n">
        <f aca="false">IF(I60="tl", 0, 1)</f>
        <v>1</v>
      </c>
      <c r="K60" s="25" t="n">
        <v>0.19</v>
      </c>
      <c r="L60" s="26" t="n">
        <f aca="false">IF(K60="tl", 0, 1)</f>
        <v>1</v>
      </c>
      <c r="M60" s="25" t="n">
        <v>7.8</v>
      </c>
      <c r="N60" s="26" t="n">
        <f aca="false">IF(M60="tl", 0, 1)</f>
        <v>1</v>
      </c>
      <c r="P60" s="23" t="n">
        <v>80</v>
      </c>
      <c r="Q60" s="23"/>
      <c r="R60" s="2" t="n">
        <f aca="false">IF(S60=C60, 1, 0)</f>
        <v>1</v>
      </c>
      <c r="S60" s="27" t="s">
        <v>112</v>
      </c>
      <c r="T60" s="27" t="n">
        <v>120</v>
      </c>
      <c r="U60" s="27" t="n">
        <v>4307</v>
      </c>
      <c r="V60" s="3" t="s">
        <v>54</v>
      </c>
      <c r="W60" s="30" t="n">
        <v>1E+020</v>
      </c>
      <c r="X60" s="3" t="n">
        <v>5.06838</v>
      </c>
      <c r="Y60" s="3" t="n">
        <v>1800</v>
      </c>
      <c r="Z60" s="3" t="n">
        <v>263.675</v>
      </c>
      <c r="AA60" s="3" t="n">
        <v>5455</v>
      </c>
      <c r="AB60" s="3" t="n">
        <v>8</v>
      </c>
      <c r="AC60" s="3" t="n">
        <v>17348</v>
      </c>
      <c r="AD60" s="3" t="n">
        <v>30270</v>
      </c>
      <c r="AE60" s="3" t="n">
        <v>4</v>
      </c>
      <c r="AF60" s="3" t="n">
        <v>0</v>
      </c>
      <c r="AG60" s="3" t="n">
        <v>6</v>
      </c>
      <c r="AH60" s="3" t="n">
        <v>4.0678</v>
      </c>
      <c r="AI60" s="30" t="n">
        <v>1E+020</v>
      </c>
      <c r="AJ60" s="2" t="n">
        <f aca="false">IF(V60="Optimal", 1, 0)</f>
        <v>0</v>
      </c>
      <c r="AK60" s="29" t="b">
        <f aca="false">IF(AJ60=1, W60-G60)</f>
        <v>0</v>
      </c>
      <c r="AL60" s="4" t="n">
        <f aca="false">IF(AND(AH60&lt;&gt;-1, G60&lt;&gt;"-", G60&lt;&gt;"."), ((G60-AH60)/G60)*100, -1)</f>
        <v>95.324367816092</v>
      </c>
      <c r="AN60" s="5" t="n">
        <f aca="false">IF(AND(AO60=C60, A60=AP60), 1, 0)</f>
        <v>1</v>
      </c>
      <c r="AO60" s="5" t="s">
        <v>112</v>
      </c>
      <c r="AP60" s="5" t="n">
        <v>5</v>
      </c>
      <c r="AQ60" s="5" t="n">
        <v>3600</v>
      </c>
      <c r="AR60" s="5" t="n">
        <v>120</v>
      </c>
      <c r="AS60" s="5" t="n">
        <v>4307</v>
      </c>
      <c r="AT60" s="28" t="n">
        <v>1575.86</v>
      </c>
      <c r="AU60" s="28" t="s">
        <v>51</v>
      </c>
      <c r="AV60" s="28" t="n">
        <v>33</v>
      </c>
      <c r="AW60" s="28" t="n">
        <v>33</v>
      </c>
      <c r="AX60" s="28" t="n">
        <v>87</v>
      </c>
      <c r="AY60" s="28" t="n">
        <v>472</v>
      </c>
      <c r="AZ60" s="28" t="n">
        <v>4868</v>
      </c>
      <c r="BA60" s="28" t="n">
        <v>14907</v>
      </c>
      <c r="BB60" s="6" t="n">
        <f aca="false">IF(AU60="Optimal", 1, 0)</f>
        <v>1</v>
      </c>
    </row>
    <row r="61" customFormat="false" ht="12.8" hidden="false" customHeight="false" outlineLevel="0" collapsed="false">
      <c r="A61" s="1" t="n">
        <v>5</v>
      </c>
      <c r="B61" s="23" t="s">
        <v>67</v>
      </c>
      <c r="C61" s="24" t="s">
        <v>113</v>
      </c>
      <c r="D61" s="25" t="n">
        <v>120</v>
      </c>
      <c r="E61" s="25" t="n">
        <v>2787</v>
      </c>
      <c r="F61" s="25" t="n">
        <v>5</v>
      </c>
      <c r="G61" s="25" t="s">
        <v>86</v>
      </c>
      <c r="H61" s="3" t="n">
        <v>1</v>
      </c>
      <c r="I61" s="25" t="s">
        <v>86</v>
      </c>
      <c r="J61" s="26" t="n">
        <f aca="false">IF(I61="tl", 0, 1)</f>
        <v>1</v>
      </c>
      <c r="K61" s="25" t="s">
        <v>86</v>
      </c>
      <c r="L61" s="26" t="n">
        <f aca="false">IF(K61="tl", 0, 1)</f>
        <v>1</v>
      </c>
      <c r="M61" s="25" t="s">
        <v>86</v>
      </c>
      <c r="N61" s="26" t="n">
        <f aca="false">IF(M61="tl", 0, 1)</f>
        <v>1</v>
      </c>
      <c r="P61" s="23" t="n">
        <v>80</v>
      </c>
      <c r="Q61" s="23"/>
      <c r="R61" s="2" t="n">
        <f aca="false">IF(S61=C61, 1, 0)</f>
        <v>1</v>
      </c>
      <c r="S61" s="27" t="s">
        <v>113</v>
      </c>
      <c r="T61" s="27" t="n">
        <v>120</v>
      </c>
      <c r="U61" s="27" t="n">
        <v>2787</v>
      </c>
      <c r="V61" s="3" t="s">
        <v>54</v>
      </c>
      <c r="W61" s="30" t="n">
        <v>1E+020</v>
      </c>
      <c r="X61" s="3" t="n">
        <v>4.0678</v>
      </c>
      <c r="Y61" s="3" t="n">
        <v>1800.05</v>
      </c>
      <c r="Z61" s="3" t="n">
        <v>142.693</v>
      </c>
      <c r="AA61" s="3" t="n">
        <v>6630</v>
      </c>
      <c r="AB61" s="3" t="n">
        <v>7</v>
      </c>
      <c r="AC61" s="3" t="n">
        <v>11268</v>
      </c>
      <c r="AD61" s="3" t="n">
        <v>19630</v>
      </c>
      <c r="AE61" s="3" t="n">
        <v>1</v>
      </c>
      <c r="AF61" s="3" t="n">
        <v>0</v>
      </c>
      <c r="AG61" s="3" t="n">
        <v>5</v>
      </c>
      <c r="AH61" s="3" t="n">
        <v>4.0678</v>
      </c>
      <c r="AI61" s="30" t="n">
        <v>1E+020</v>
      </c>
      <c r="AJ61" s="2" t="n">
        <f aca="false">IF(V61="Optimal", 1, 0)</f>
        <v>0</v>
      </c>
      <c r="AK61" s="29" t="b">
        <f aca="false">IF(AJ61=1, W61-G61)</f>
        <v>0</v>
      </c>
      <c r="AL61" s="4" t="n">
        <f aca="false">IF(AND(AH61&lt;&gt;-1, G61&lt;&gt;"-", G61&lt;&gt;"."), ((G61-AH61)/G61)*100, -1)</f>
        <v>-1</v>
      </c>
      <c r="AN61" s="5" t="n">
        <f aca="false">IF(AND(AO61=C61, A61=AP61), 1, 0)</f>
        <v>1</v>
      </c>
      <c r="AO61" s="5" t="s">
        <v>113</v>
      </c>
      <c r="AP61" s="5" t="n">
        <v>5</v>
      </c>
      <c r="AQ61" s="5" t="n">
        <v>3600</v>
      </c>
      <c r="AR61" s="5" t="n">
        <v>120</v>
      </c>
      <c r="AS61" s="5" t="n">
        <v>2787</v>
      </c>
      <c r="AT61" s="28" t="n">
        <v>3600</v>
      </c>
      <c r="AU61" s="28" t="s">
        <v>54</v>
      </c>
      <c r="AV61" s="28" t="n">
        <v>107.303</v>
      </c>
      <c r="AW61" s="28" t="n">
        <v>40</v>
      </c>
      <c r="AX61" s="28" t="n">
        <v>80</v>
      </c>
      <c r="AY61" s="28" t="n">
        <v>560</v>
      </c>
      <c r="AZ61" s="28" t="n">
        <v>22115</v>
      </c>
      <c r="BA61" s="28" t="n">
        <v>26791</v>
      </c>
      <c r="BB61" s="6" t="n">
        <f aca="false">IF(AU61="Optimal", 1, 0)</f>
        <v>0</v>
      </c>
    </row>
    <row r="62" customFormat="false" ht="12.8" hidden="false" customHeight="false" outlineLevel="0" collapsed="false">
      <c r="A62" s="1" t="n">
        <v>5</v>
      </c>
      <c r="B62" s="23" t="s">
        <v>67</v>
      </c>
      <c r="C62" s="24" t="s">
        <v>114</v>
      </c>
      <c r="D62" s="25" t="n">
        <v>120</v>
      </c>
      <c r="E62" s="25" t="n">
        <v>4626</v>
      </c>
      <c r="F62" s="25" t="n">
        <v>5</v>
      </c>
      <c r="G62" s="25" t="n">
        <v>91</v>
      </c>
      <c r="H62" s="3" t="n">
        <v>1</v>
      </c>
      <c r="I62" s="25" t="n">
        <v>0.31</v>
      </c>
      <c r="J62" s="26" t="n">
        <f aca="false">IF(I62="tl", 0, 1)</f>
        <v>1</v>
      </c>
      <c r="K62" s="25" t="s">
        <v>53</v>
      </c>
      <c r="L62" s="26" t="n">
        <f aca="false">IF(K62="tl", 0, 1)</f>
        <v>0</v>
      </c>
      <c r="M62" s="25" t="n">
        <v>64.38</v>
      </c>
      <c r="N62" s="26" t="n">
        <f aca="false">IF(M62="tl", 0, 1)</f>
        <v>1</v>
      </c>
      <c r="P62" s="23" t="n">
        <v>50</v>
      </c>
      <c r="Q62" s="23"/>
      <c r="R62" s="2" t="n">
        <f aca="false">IF(S62=C62, 1, 0)</f>
        <v>1</v>
      </c>
      <c r="S62" s="27" t="s">
        <v>114</v>
      </c>
      <c r="T62" s="27" t="n">
        <v>120</v>
      </c>
      <c r="U62" s="27" t="n">
        <v>4626</v>
      </c>
      <c r="V62" s="3" t="s">
        <v>54</v>
      </c>
      <c r="W62" s="30" t="n">
        <v>1E+020</v>
      </c>
      <c r="X62" s="3" t="n">
        <v>5.06838</v>
      </c>
      <c r="Y62" s="3" t="n">
        <v>1800.14</v>
      </c>
      <c r="Z62" s="3" t="n">
        <v>195.313</v>
      </c>
      <c r="AA62" s="3" t="n">
        <v>6182</v>
      </c>
      <c r="AB62" s="3" t="n">
        <v>8</v>
      </c>
      <c r="AC62" s="3" t="n">
        <v>18624</v>
      </c>
      <c r="AD62" s="3" t="n">
        <v>32503</v>
      </c>
      <c r="AE62" s="3" t="n">
        <v>7</v>
      </c>
      <c r="AF62" s="3" t="n">
        <v>0</v>
      </c>
      <c r="AG62" s="3" t="n">
        <v>5</v>
      </c>
      <c r="AH62" s="3" t="n">
        <v>4.0678</v>
      </c>
      <c r="AI62" s="30" t="n">
        <v>1E+020</v>
      </c>
      <c r="AJ62" s="2" t="n">
        <f aca="false">IF(V62="Optimal", 1, 0)</f>
        <v>0</v>
      </c>
      <c r="AK62" s="29" t="b">
        <f aca="false">IF(AJ62=1, W62-G62)</f>
        <v>0</v>
      </c>
      <c r="AL62" s="4" t="n">
        <f aca="false">IF(AND(AH62&lt;&gt;-1, G62&lt;&gt;"-", G62&lt;&gt;"."), ((G62-AH62)/G62)*100, -1)</f>
        <v>95.5298901098901</v>
      </c>
      <c r="AN62" s="5" t="n">
        <f aca="false">IF(AND(AO62=C62, A62=AP62), 1, 0)</f>
        <v>1</v>
      </c>
      <c r="AO62" s="5" t="s">
        <v>114</v>
      </c>
      <c r="AP62" s="5" t="n">
        <v>5</v>
      </c>
      <c r="AQ62" s="5" t="n">
        <v>3600</v>
      </c>
      <c r="AR62" s="5" t="n">
        <v>120</v>
      </c>
      <c r="AS62" s="5" t="n">
        <v>4626</v>
      </c>
      <c r="AT62" s="28" t="n">
        <v>1188.41</v>
      </c>
      <c r="AU62" s="28" t="s">
        <v>51</v>
      </c>
      <c r="AV62" s="28" t="n">
        <v>29</v>
      </c>
      <c r="AW62" s="28" t="n">
        <v>29</v>
      </c>
      <c r="AX62" s="28" t="n">
        <v>91</v>
      </c>
      <c r="AY62" s="28" t="n">
        <v>443</v>
      </c>
      <c r="AZ62" s="28" t="n">
        <v>17411</v>
      </c>
      <c r="BA62" s="28" t="n">
        <v>3302</v>
      </c>
      <c r="BB62" s="6" t="n">
        <f aca="false">IF(AU62="Optimal", 1, 0)</f>
        <v>1</v>
      </c>
    </row>
    <row r="63" customFormat="false" ht="12.8" hidden="false" customHeight="false" outlineLevel="0" collapsed="false">
      <c r="A63" s="1" t="n">
        <v>5</v>
      </c>
      <c r="B63" s="23" t="s">
        <v>67</v>
      </c>
      <c r="C63" s="24" t="s">
        <v>115</v>
      </c>
      <c r="D63" s="25" t="n">
        <v>120</v>
      </c>
      <c r="E63" s="25" t="n">
        <v>3273</v>
      </c>
      <c r="F63" s="25" t="n">
        <v>6</v>
      </c>
      <c r="G63" s="25" t="n">
        <v>76</v>
      </c>
      <c r="H63" s="3" t="n">
        <v>1</v>
      </c>
      <c r="I63" s="25" t="n">
        <v>19.99</v>
      </c>
      <c r="J63" s="26" t="n">
        <f aca="false">IF(I63="tl", 0, 1)</f>
        <v>1</v>
      </c>
      <c r="K63" s="25" t="n">
        <v>335.74</v>
      </c>
      <c r="L63" s="26" t="n">
        <f aca="false">IF(K63="tl", 0, 1)</f>
        <v>1</v>
      </c>
      <c r="M63" s="25" t="s">
        <v>53</v>
      </c>
      <c r="N63" s="26" t="n">
        <f aca="false">IF(M63="tl", 0, 1)</f>
        <v>0</v>
      </c>
      <c r="P63" s="23" t="n">
        <v>34</v>
      </c>
      <c r="Q63" s="23"/>
      <c r="R63" s="2" t="n">
        <f aca="false">IF(S63=C63, 1, 0)</f>
        <v>1</v>
      </c>
      <c r="S63" s="27" t="s">
        <v>115</v>
      </c>
      <c r="T63" s="27" t="n">
        <v>120</v>
      </c>
      <c r="U63" s="27" t="n">
        <v>3273</v>
      </c>
      <c r="V63" s="3" t="s">
        <v>54</v>
      </c>
      <c r="W63" s="3" t="n">
        <v>112</v>
      </c>
      <c r="X63" s="3" t="n">
        <v>4.0678</v>
      </c>
      <c r="Y63" s="3" t="n">
        <v>1800</v>
      </c>
      <c r="Z63" s="3" t="n">
        <v>103.998</v>
      </c>
      <c r="AA63" s="3" t="n">
        <v>5774</v>
      </c>
      <c r="AB63" s="3" t="n">
        <v>3</v>
      </c>
      <c r="AC63" s="3" t="n">
        <v>13212</v>
      </c>
      <c r="AD63" s="3" t="n">
        <v>23032</v>
      </c>
      <c r="AE63" s="3" t="n">
        <v>7</v>
      </c>
      <c r="AF63" s="3" t="n">
        <v>0</v>
      </c>
      <c r="AG63" s="3" t="n">
        <v>1</v>
      </c>
      <c r="AH63" s="3" t="n">
        <v>4.0678</v>
      </c>
      <c r="AI63" s="3" t="n">
        <v>112</v>
      </c>
      <c r="AJ63" s="2" t="n">
        <f aca="false">IF(V63="Optimal", 1, 0)</f>
        <v>0</v>
      </c>
      <c r="AK63" s="29" t="b">
        <f aca="false">IF(AJ63=1, W63-G63)</f>
        <v>0</v>
      </c>
      <c r="AL63" s="4" t="n">
        <f aca="false">IF(AND(AH63&lt;&gt;-1, G63&lt;&gt;"-", G63&lt;&gt;"."), ((G63-AH63)/G63)*100, -1)</f>
        <v>94.6476315789474</v>
      </c>
      <c r="AN63" s="5" t="n">
        <f aca="false">IF(AND(AO63=C63, A63=AP63), 1, 0)</f>
        <v>1</v>
      </c>
      <c r="AO63" s="5" t="s">
        <v>115</v>
      </c>
      <c r="AP63" s="5" t="n">
        <v>5</v>
      </c>
      <c r="AQ63" s="5" t="n">
        <v>3600</v>
      </c>
      <c r="AR63" s="5" t="n">
        <v>120</v>
      </c>
      <c r="AS63" s="5" t="n">
        <v>3273</v>
      </c>
      <c r="AT63" s="28" t="n">
        <v>1302.84</v>
      </c>
      <c r="AU63" s="28" t="s">
        <v>51</v>
      </c>
      <c r="AV63" s="28" t="n">
        <v>44</v>
      </c>
      <c r="AW63" s="28" t="n">
        <v>44</v>
      </c>
      <c r="AX63" s="28" t="n">
        <v>76</v>
      </c>
      <c r="AY63" s="28" t="n">
        <v>337</v>
      </c>
      <c r="AZ63" s="28" t="n">
        <v>5509</v>
      </c>
      <c r="BA63" s="28" t="n">
        <v>31474</v>
      </c>
      <c r="BB63" s="6" t="n">
        <f aca="false">IF(AU63="Optimal", 1, 0)</f>
        <v>1</v>
      </c>
    </row>
    <row r="64" customFormat="false" ht="12.8" hidden="false" customHeight="false" outlineLevel="0" collapsed="false">
      <c r="A64" s="1" t="n">
        <v>5</v>
      </c>
      <c r="B64" s="23" t="s">
        <v>67</v>
      </c>
      <c r="C64" s="24" t="s">
        <v>116</v>
      </c>
      <c r="D64" s="25" t="n">
        <v>120</v>
      </c>
      <c r="E64" s="25" t="n">
        <v>3387</v>
      </c>
      <c r="F64" s="25" t="n">
        <v>23</v>
      </c>
      <c r="G64" s="25" t="n">
        <v>3</v>
      </c>
      <c r="H64" s="3" t="n">
        <v>1</v>
      </c>
      <c r="I64" s="25" t="n">
        <v>0.16</v>
      </c>
      <c r="J64" s="26" t="n">
        <f aca="false">IF(I64="tl", 0, 1)</f>
        <v>1</v>
      </c>
      <c r="K64" s="25" t="n">
        <v>1.07</v>
      </c>
      <c r="L64" s="26" t="n">
        <f aca="false">IF(K64="tl", 0, 1)</f>
        <v>1</v>
      </c>
      <c r="M64" s="25" t="n">
        <v>0.06</v>
      </c>
      <c r="N64" s="26" t="n">
        <f aca="false">IF(M64="tl", 0, 1)</f>
        <v>1</v>
      </c>
      <c r="P64" s="23" t="n">
        <v>0</v>
      </c>
      <c r="Q64" s="23"/>
      <c r="R64" s="2" t="n">
        <f aca="false">IF(S64=C64, 1, 0)</f>
        <v>1</v>
      </c>
      <c r="S64" s="27" t="s">
        <v>116</v>
      </c>
      <c r="T64" s="27" t="n">
        <v>120</v>
      </c>
      <c r="U64" s="27" t="n">
        <v>3387</v>
      </c>
      <c r="V64" s="3" t="s">
        <v>54</v>
      </c>
      <c r="W64" s="30" t="n">
        <v>4</v>
      </c>
      <c r="X64" s="3" t="n">
        <v>3</v>
      </c>
      <c r="Y64" s="3" t="n">
        <v>1800</v>
      </c>
      <c r="Z64" s="3" t="n">
        <v>106.606</v>
      </c>
      <c r="AA64" s="3" t="n">
        <v>5524</v>
      </c>
      <c r="AB64" s="3" t="n">
        <v>4</v>
      </c>
      <c r="AC64" s="3" t="n">
        <v>13668</v>
      </c>
      <c r="AD64" s="3" t="n">
        <v>23830</v>
      </c>
      <c r="AE64" s="3" t="n">
        <v>25</v>
      </c>
      <c r="AF64" s="3" t="n">
        <v>0</v>
      </c>
      <c r="AG64" s="3" t="n">
        <v>2</v>
      </c>
      <c r="AH64" s="3" t="n">
        <v>2.80702</v>
      </c>
      <c r="AI64" s="30" t="n">
        <v>4</v>
      </c>
      <c r="AJ64" s="2" t="n">
        <f aca="false">IF(V64="Optimal", 1, 0)</f>
        <v>0</v>
      </c>
      <c r="AK64" s="29" t="b">
        <f aca="false">IF(AJ64=1, W64-G64)</f>
        <v>0</v>
      </c>
      <c r="AL64" s="4" t="n">
        <f aca="false">IF(AND(AH64&lt;&gt;-1, G64&lt;&gt;"-", G64&lt;&gt;"."), ((G64-AH64)/G64)*100, -1)</f>
        <v>6.43266666666666</v>
      </c>
      <c r="AN64" s="5" t="n">
        <f aca="false">IF(AND(AO64=C64, A64=AP64), 1, 0)</f>
        <v>1</v>
      </c>
      <c r="AO64" s="5" t="s">
        <v>116</v>
      </c>
      <c r="AP64" s="5" t="n">
        <v>5</v>
      </c>
      <c r="AQ64" s="5" t="n">
        <v>3600</v>
      </c>
      <c r="AR64" s="5" t="n">
        <v>120</v>
      </c>
      <c r="AS64" s="5" t="n">
        <v>3387</v>
      </c>
      <c r="AT64" s="28" t="n">
        <v>65.2954</v>
      </c>
      <c r="AU64" s="28" t="s">
        <v>51</v>
      </c>
      <c r="AV64" s="28" t="n">
        <v>117</v>
      </c>
      <c r="AW64" s="28" t="n">
        <v>117</v>
      </c>
      <c r="AX64" s="28" t="n">
        <v>3</v>
      </c>
      <c r="AY64" s="28" t="n">
        <v>576</v>
      </c>
      <c r="AZ64" s="28" t="n">
        <v>3988</v>
      </c>
      <c r="BA64" s="28" t="n">
        <v>6</v>
      </c>
      <c r="BB64" s="6" t="n">
        <f aca="false">IF(AU64="Optimal", 1, 0)</f>
        <v>1</v>
      </c>
    </row>
    <row r="65" customFormat="false" ht="12.8" hidden="false" customHeight="false" outlineLevel="0" collapsed="false">
      <c r="A65" s="1" t="n">
        <v>5</v>
      </c>
      <c r="B65" s="23" t="s">
        <v>67</v>
      </c>
      <c r="C65" s="24" t="s">
        <v>117</v>
      </c>
      <c r="D65" s="25" t="n">
        <v>125</v>
      </c>
      <c r="E65" s="25" t="n">
        <v>390</v>
      </c>
      <c r="F65" s="25" t="n">
        <v>37</v>
      </c>
      <c r="G65" s="25" t="n">
        <v>8</v>
      </c>
      <c r="H65" s="3" t="n">
        <v>1</v>
      </c>
      <c r="I65" s="25" t="n">
        <v>843.17</v>
      </c>
      <c r="J65" s="26" t="n">
        <f aca="false">IF(I65="tl", 0, 1)</f>
        <v>1</v>
      </c>
      <c r="K65" s="25" t="n">
        <v>26.46</v>
      </c>
      <c r="L65" s="26" t="n">
        <f aca="false">IF(K65="tl", 0, 1)</f>
        <v>1</v>
      </c>
      <c r="M65" s="25" t="s">
        <v>53</v>
      </c>
      <c r="N65" s="26" t="n">
        <f aca="false">IF(M65="tl", 0, 1)</f>
        <v>0</v>
      </c>
      <c r="P65" s="23" t="n">
        <v>0</v>
      </c>
      <c r="Q65" s="23"/>
      <c r="R65" s="2" t="n">
        <f aca="false">IF(S65=C65, 1, 0)</f>
        <v>1</v>
      </c>
      <c r="S65" s="27" t="s">
        <v>117</v>
      </c>
      <c r="T65" s="27" t="n">
        <v>125</v>
      </c>
      <c r="U65" s="27" t="n">
        <v>390</v>
      </c>
      <c r="V65" s="3" t="s">
        <v>54</v>
      </c>
      <c r="W65" s="3" t="n">
        <v>14</v>
      </c>
      <c r="X65" s="3" t="n">
        <v>4.96552</v>
      </c>
      <c r="Y65" s="3" t="n">
        <v>1800.2</v>
      </c>
      <c r="Z65" s="3" t="n">
        <v>1283.55</v>
      </c>
      <c r="AA65" s="3" t="n">
        <v>11107</v>
      </c>
      <c r="AB65" s="3" t="n">
        <v>42</v>
      </c>
      <c r="AC65" s="3" t="n">
        <v>1685</v>
      </c>
      <c r="AD65" s="3" t="n">
        <v>2856</v>
      </c>
      <c r="AE65" s="3" t="n">
        <v>33</v>
      </c>
      <c r="AF65" s="3" t="n">
        <v>0</v>
      </c>
      <c r="AG65" s="3" t="n">
        <v>15</v>
      </c>
      <c r="AH65" s="3" t="n">
        <v>4.06504</v>
      </c>
      <c r="AI65" s="3" t="n">
        <v>63</v>
      </c>
      <c r="AJ65" s="2" t="n">
        <f aca="false">IF(V65="Optimal", 1, 0)</f>
        <v>0</v>
      </c>
      <c r="AK65" s="29" t="b">
        <f aca="false">IF(AJ65=1, W65-G65)</f>
        <v>0</v>
      </c>
      <c r="AL65" s="4" t="n">
        <f aca="false">IF(AND(AH65&lt;&gt;-1, G65&lt;&gt;"-", G65&lt;&gt;"."), ((G65-AH65)/G65)*100, -1)</f>
        <v>49.187</v>
      </c>
      <c r="AN65" s="5" t="n">
        <f aca="false">IF(AND(AO65=C65, A65=AP65), 1, 0)</f>
        <v>1</v>
      </c>
      <c r="AO65" s="5" t="s">
        <v>117</v>
      </c>
      <c r="AP65" s="5" t="n">
        <v>5</v>
      </c>
      <c r="AQ65" s="5" t="n">
        <v>3600</v>
      </c>
      <c r="AR65" s="5" t="n">
        <v>125</v>
      </c>
      <c r="AS65" s="5" t="n">
        <v>390</v>
      </c>
      <c r="AT65" s="28" t="n">
        <v>2392.92</v>
      </c>
      <c r="AU65" s="28" t="s">
        <v>51</v>
      </c>
      <c r="AV65" s="28" t="n">
        <v>117</v>
      </c>
      <c r="AW65" s="28" t="n">
        <v>117</v>
      </c>
      <c r="AX65" s="28" t="n">
        <v>8</v>
      </c>
      <c r="AY65" s="28" t="n">
        <v>592</v>
      </c>
      <c r="AZ65" s="28" t="n">
        <v>1789</v>
      </c>
      <c r="BA65" s="28" t="n">
        <v>77097</v>
      </c>
      <c r="BB65" s="6" t="n">
        <f aca="false">IF(AU65="Optimal", 1, 0)</f>
        <v>1</v>
      </c>
    </row>
    <row r="66" customFormat="false" ht="12.8" hidden="false" customHeight="false" outlineLevel="0" collapsed="false">
      <c r="A66" s="1" t="n">
        <v>5</v>
      </c>
      <c r="B66" s="23" t="s">
        <v>67</v>
      </c>
      <c r="C66" s="24" t="s">
        <v>118</v>
      </c>
      <c r="D66" s="25" t="n">
        <v>125</v>
      </c>
      <c r="E66" s="25" t="n">
        <v>2701</v>
      </c>
      <c r="F66" s="25" t="n">
        <v>9</v>
      </c>
      <c r="G66" s="25" t="n">
        <v>41</v>
      </c>
      <c r="H66" s="3" t="n">
        <v>1</v>
      </c>
      <c r="I66" s="25" t="n">
        <v>159.35</v>
      </c>
      <c r="J66" s="26" t="n">
        <f aca="false">IF(I66="tl", 0, 1)</f>
        <v>1</v>
      </c>
      <c r="K66" s="25" t="s">
        <v>53</v>
      </c>
      <c r="L66" s="26" t="n">
        <f aca="false">IF(K66="tl", 0, 1)</f>
        <v>0</v>
      </c>
      <c r="M66" s="25" t="s">
        <v>53</v>
      </c>
      <c r="N66" s="26" t="n">
        <f aca="false">IF(M66="tl", 0, 1)</f>
        <v>0</v>
      </c>
      <c r="P66" s="23" t="n">
        <v>0</v>
      </c>
      <c r="Q66" s="23"/>
      <c r="R66" s="2" t="n">
        <f aca="false">IF(S66=C66, 1, 0)</f>
        <v>1</v>
      </c>
      <c r="S66" s="27" t="s">
        <v>118</v>
      </c>
      <c r="T66" s="27" t="n">
        <v>125</v>
      </c>
      <c r="U66" s="27" t="n">
        <v>2701</v>
      </c>
      <c r="V66" s="3" t="s">
        <v>54</v>
      </c>
      <c r="W66" s="3" t="n">
        <v>116</v>
      </c>
      <c r="X66" s="3" t="n">
        <v>4.06504</v>
      </c>
      <c r="Y66" s="3" t="n">
        <v>1800.17</v>
      </c>
      <c r="Z66" s="3" t="n">
        <v>102.363</v>
      </c>
      <c r="AA66" s="3" t="n">
        <v>4609</v>
      </c>
      <c r="AB66" s="3" t="n">
        <v>3</v>
      </c>
      <c r="AC66" s="3" t="n">
        <v>10929</v>
      </c>
      <c r="AD66" s="3" t="n">
        <v>19033</v>
      </c>
      <c r="AE66" s="3" t="n">
        <v>10</v>
      </c>
      <c r="AF66" s="3" t="n">
        <v>0</v>
      </c>
      <c r="AG66" s="3" t="n">
        <v>1</v>
      </c>
      <c r="AH66" s="3" t="n">
        <v>4.06504</v>
      </c>
      <c r="AI66" s="3" t="n">
        <v>116</v>
      </c>
      <c r="AJ66" s="2" t="n">
        <f aca="false">IF(V66="Optimal", 1, 0)</f>
        <v>0</v>
      </c>
      <c r="AK66" s="29" t="b">
        <f aca="false">IF(AJ66=1, W66-G66)</f>
        <v>0</v>
      </c>
      <c r="AL66" s="4" t="n">
        <f aca="false">IF(AND(AH66&lt;&gt;-1, G66&lt;&gt;"-", G66&lt;&gt;"."), ((G66-AH66)/G66)*100, -1)</f>
        <v>90.0852682926829</v>
      </c>
      <c r="AN66" s="5" t="n">
        <f aca="false">IF(AND(AO66=C66, A66=AP66), 1, 0)</f>
        <v>1</v>
      </c>
      <c r="AO66" s="5" t="s">
        <v>118</v>
      </c>
      <c r="AP66" s="5" t="n">
        <v>5</v>
      </c>
      <c r="AQ66" s="5" t="n">
        <v>3600</v>
      </c>
      <c r="AR66" s="5" t="n">
        <v>125</v>
      </c>
      <c r="AS66" s="5" t="n">
        <v>2701</v>
      </c>
      <c r="AT66" s="28" t="n">
        <v>3600</v>
      </c>
      <c r="AU66" s="28" t="s">
        <v>54</v>
      </c>
      <c r="AV66" s="28" t="n">
        <v>106.528</v>
      </c>
      <c r="AW66" s="28" t="n">
        <v>83</v>
      </c>
      <c r="AX66" s="28" t="n">
        <v>42</v>
      </c>
      <c r="AY66" s="28" t="n">
        <v>545</v>
      </c>
      <c r="AZ66" s="28" t="n">
        <v>13181</v>
      </c>
      <c r="BA66" s="28" t="n">
        <v>24354</v>
      </c>
      <c r="BB66" s="6" t="n">
        <f aca="false">IF(AU66="Optimal", 1, 0)</f>
        <v>0</v>
      </c>
    </row>
    <row r="67" customFormat="false" ht="12.8" hidden="false" customHeight="false" outlineLevel="0" collapsed="false">
      <c r="A67" s="1" t="n">
        <v>5</v>
      </c>
      <c r="B67" s="23" t="s">
        <v>67</v>
      </c>
      <c r="C67" s="24" t="s">
        <v>119</v>
      </c>
      <c r="D67" s="25" t="n">
        <v>125</v>
      </c>
      <c r="E67" s="25" t="n">
        <v>1257</v>
      </c>
      <c r="F67" s="25" t="n">
        <v>15</v>
      </c>
      <c r="G67" s="25" t="s">
        <v>77</v>
      </c>
      <c r="H67" s="3" t="n">
        <v>0</v>
      </c>
      <c r="I67" s="25" t="s">
        <v>53</v>
      </c>
      <c r="J67" s="26" t="n">
        <f aca="false">IF(I67="tl", 0, 1)</f>
        <v>0</v>
      </c>
      <c r="K67" s="25" t="s">
        <v>53</v>
      </c>
      <c r="L67" s="26" t="n">
        <f aca="false">IF(K67="tl", 0, 1)</f>
        <v>0</v>
      </c>
      <c r="M67" s="25" t="s">
        <v>53</v>
      </c>
      <c r="N67" s="26" t="n">
        <f aca="false">IF(M67="tl", 0, 1)</f>
        <v>0</v>
      </c>
      <c r="P67" s="23" t="n">
        <v>0</v>
      </c>
      <c r="Q67" s="23"/>
      <c r="R67" s="2" t="n">
        <f aca="false">IF(S67=C67, 1, 0)</f>
        <v>1</v>
      </c>
      <c r="S67" s="27" t="s">
        <v>119</v>
      </c>
      <c r="T67" s="27" t="n">
        <v>125</v>
      </c>
      <c r="U67" s="27" t="n">
        <v>1257</v>
      </c>
      <c r="V67" s="3" t="s">
        <v>54</v>
      </c>
      <c r="W67" s="30" t="n">
        <v>97</v>
      </c>
      <c r="X67" s="3" t="n">
        <v>5.77778</v>
      </c>
      <c r="Y67" s="3" t="n">
        <v>1800.04</v>
      </c>
      <c r="Z67" s="3" t="n">
        <v>714.999</v>
      </c>
      <c r="AA67" s="3" t="n">
        <v>10305</v>
      </c>
      <c r="AB67" s="3" t="n">
        <v>25</v>
      </c>
      <c r="AC67" s="3" t="n">
        <v>5153</v>
      </c>
      <c r="AD67" s="3" t="n">
        <v>8925</v>
      </c>
      <c r="AE67" s="3" t="n">
        <v>1</v>
      </c>
      <c r="AF67" s="3" t="n">
        <v>0</v>
      </c>
      <c r="AG67" s="3" t="n">
        <v>11</v>
      </c>
      <c r="AH67" s="3" t="n">
        <v>4.06504</v>
      </c>
      <c r="AI67" s="30" t="n">
        <v>106</v>
      </c>
      <c r="AJ67" s="2" t="n">
        <f aca="false">IF(V67="Optimal", 1, 0)</f>
        <v>0</v>
      </c>
      <c r="AK67" s="29" t="b">
        <f aca="false">IF(AJ67=1, W67-G67)</f>
        <v>0</v>
      </c>
      <c r="AL67" s="4" t="n">
        <f aca="false">IF(AND(AH67&lt;&gt;-1, G67&lt;&gt;"-", G67&lt;&gt;"."), ((G67-AH67)/G67)*100, -1)</f>
        <v>-1</v>
      </c>
      <c r="AN67" s="5" t="n">
        <f aca="false">IF(AND(AO67=C67, A67=AP67), 1, 0)</f>
        <v>1</v>
      </c>
      <c r="AO67" s="5" t="s">
        <v>119</v>
      </c>
      <c r="AP67" s="5" t="n">
        <v>5</v>
      </c>
      <c r="AQ67" s="5" t="n">
        <v>3600</v>
      </c>
      <c r="AR67" s="5" t="n">
        <v>125</v>
      </c>
      <c r="AS67" s="5" t="n">
        <v>1257</v>
      </c>
      <c r="AT67" s="28" t="n">
        <v>3600</v>
      </c>
      <c r="AU67" s="28" t="s">
        <v>54</v>
      </c>
      <c r="AV67" s="28" t="n">
        <v>116.48</v>
      </c>
      <c r="AW67" s="28" t="n">
        <v>87</v>
      </c>
      <c r="AX67" s="28" t="n">
        <v>39</v>
      </c>
      <c r="AY67" s="28" t="n">
        <v>595</v>
      </c>
      <c r="AZ67" s="28" t="n">
        <v>7000</v>
      </c>
      <c r="BA67" s="28" t="n">
        <v>10131</v>
      </c>
      <c r="BB67" s="6" t="n">
        <f aca="false">IF(AU67="Optimal", 1, 0)</f>
        <v>0</v>
      </c>
    </row>
    <row r="68" customFormat="false" ht="12.8" hidden="false" customHeight="false" outlineLevel="0" collapsed="false">
      <c r="A68" s="1" t="n">
        <v>5</v>
      </c>
      <c r="B68" s="23" t="s">
        <v>67</v>
      </c>
      <c r="C68" s="24" t="s">
        <v>120</v>
      </c>
      <c r="D68" s="25" t="n">
        <v>125</v>
      </c>
      <c r="E68" s="25" t="n">
        <v>1022</v>
      </c>
      <c r="F68" s="25" t="n">
        <v>20</v>
      </c>
      <c r="G68" s="25" t="s">
        <v>77</v>
      </c>
      <c r="H68" s="3" t="n">
        <v>0</v>
      </c>
      <c r="I68" s="25" t="s">
        <v>53</v>
      </c>
      <c r="J68" s="26" t="n">
        <f aca="false">IF(I68="tl", 0, 1)</f>
        <v>0</v>
      </c>
      <c r="K68" s="25" t="s">
        <v>53</v>
      </c>
      <c r="L68" s="26" t="n">
        <f aca="false">IF(K68="tl", 0, 1)</f>
        <v>0</v>
      </c>
      <c r="M68" s="25" t="s">
        <v>53</v>
      </c>
      <c r="N68" s="26" t="n">
        <f aca="false">IF(M68="tl", 0, 1)</f>
        <v>0</v>
      </c>
      <c r="P68" s="23" t="n">
        <v>0</v>
      </c>
      <c r="Q68" s="23"/>
      <c r="R68" s="2" t="n">
        <f aca="false">IF(S68=C68, 1, 0)</f>
        <v>1</v>
      </c>
      <c r="S68" s="27" t="s">
        <v>120</v>
      </c>
      <c r="T68" s="27" t="n">
        <v>125</v>
      </c>
      <c r="U68" s="27" t="n">
        <v>1022</v>
      </c>
      <c r="V68" s="3" t="s">
        <v>54</v>
      </c>
      <c r="W68" s="30" t="n">
        <v>100</v>
      </c>
      <c r="X68" s="3" t="n">
        <v>4.63366</v>
      </c>
      <c r="Y68" s="3" t="n">
        <v>1800.14</v>
      </c>
      <c r="Z68" s="3" t="n">
        <v>984.157</v>
      </c>
      <c r="AA68" s="3" t="n">
        <v>11084</v>
      </c>
      <c r="AB68" s="3" t="n">
        <v>4</v>
      </c>
      <c r="AC68" s="3" t="n">
        <v>4213</v>
      </c>
      <c r="AD68" s="3" t="n">
        <v>7280</v>
      </c>
      <c r="AE68" s="3" t="n">
        <v>7</v>
      </c>
      <c r="AF68" s="3" t="n">
        <v>0</v>
      </c>
      <c r="AG68" s="3" t="n">
        <v>2</v>
      </c>
      <c r="AH68" s="3" t="n">
        <v>4.06504</v>
      </c>
      <c r="AI68" s="30" t="n">
        <v>100</v>
      </c>
      <c r="AJ68" s="2" t="n">
        <f aca="false">IF(V68="Optimal", 1, 0)</f>
        <v>0</v>
      </c>
      <c r="AK68" s="29" t="b">
        <f aca="false">IF(AJ68=1, W68-G68)</f>
        <v>0</v>
      </c>
      <c r="AL68" s="4" t="n">
        <f aca="false">IF(AND(AH68&lt;&gt;-1, G68&lt;&gt;"-", G68&lt;&gt;"."), ((G68-AH68)/G68)*100, -1)</f>
        <v>-1</v>
      </c>
      <c r="AN68" s="5" t="n">
        <f aca="false">IF(AND(AO68=C68, A68=AP68), 1, 0)</f>
        <v>1</v>
      </c>
      <c r="AO68" s="5" t="s">
        <v>120</v>
      </c>
      <c r="AP68" s="5" t="n">
        <v>5</v>
      </c>
      <c r="AQ68" s="5" t="n">
        <v>3600</v>
      </c>
      <c r="AR68" s="5" t="n">
        <v>125</v>
      </c>
      <c r="AS68" s="5" t="n">
        <v>1022</v>
      </c>
      <c r="AT68" s="28" t="n">
        <v>3600</v>
      </c>
      <c r="AU68" s="28" t="s">
        <v>54</v>
      </c>
      <c r="AV68" s="28" t="n">
        <v>116.925</v>
      </c>
      <c r="AW68" s="28" t="n">
        <v>97</v>
      </c>
      <c r="AX68" s="28" t="n">
        <v>28</v>
      </c>
      <c r="AY68" s="28" t="n">
        <v>595</v>
      </c>
      <c r="AZ68" s="28" t="n">
        <v>5858</v>
      </c>
      <c r="BA68" s="28" t="n">
        <v>36238</v>
      </c>
      <c r="BB68" s="6" t="n">
        <f aca="false">IF(AU68="Optimal", 1, 0)</f>
        <v>0</v>
      </c>
    </row>
    <row r="69" customFormat="false" ht="12.8" hidden="false" customHeight="false" outlineLevel="0" collapsed="false">
      <c r="A69" s="1" t="n">
        <v>5</v>
      </c>
      <c r="B69" s="23" t="s">
        <v>67</v>
      </c>
      <c r="C69" s="24" t="s">
        <v>121</v>
      </c>
      <c r="D69" s="25" t="n">
        <v>125</v>
      </c>
      <c r="E69" s="25" t="n">
        <v>943</v>
      </c>
      <c r="F69" s="25" t="n">
        <v>16</v>
      </c>
      <c r="G69" s="25" t="s">
        <v>77</v>
      </c>
      <c r="H69" s="3" t="n">
        <v>0</v>
      </c>
      <c r="I69" s="25" t="s">
        <v>53</v>
      </c>
      <c r="J69" s="26" t="n">
        <f aca="false">IF(I69="tl", 0, 1)</f>
        <v>0</v>
      </c>
      <c r="K69" s="25" t="s">
        <v>53</v>
      </c>
      <c r="L69" s="26" t="n">
        <f aca="false">IF(K69="tl", 0, 1)</f>
        <v>0</v>
      </c>
      <c r="M69" s="25" t="s">
        <v>53</v>
      </c>
      <c r="N69" s="26" t="n">
        <f aca="false">IF(M69="tl", 0, 1)</f>
        <v>0</v>
      </c>
      <c r="P69" s="23" t="n">
        <v>0</v>
      </c>
      <c r="Q69" s="23"/>
      <c r="R69" s="2" t="n">
        <f aca="false">IF(S69=C69, 1, 0)</f>
        <v>1</v>
      </c>
      <c r="S69" s="27" t="s">
        <v>121</v>
      </c>
      <c r="T69" s="27" t="n">
        <v>125</v>
      </c>
      <c r="U69" s="27" t="n">
        <v>943</v>
      </c>
      <c r="V69" s="3" t="s">
        <v>54</v>
      </c>
      <c r="W69" s="3" t="n">
        <v>99</v>
      </c>
      <c r="X69" s="3" t="n">
        <v>4.625</v>
      </c>
      <c r="Y69" s="3" t="n">
        <v>1800</v>
      </c>
      <c r="Z69" s="3" t="n">
        <v>319.15</v>
      </c>
      <c r="AA69" s="3" t="n">
        <v>8189</v>
      </c>
      <c r="AB69" s="3" t="n">
        <v>4</v>
      </c>
      <c r="AC69" s="3" t="n">
        <v>3897</v>
      </c>
      <c r="AD69" s="3" t="n">
        <v>6727</v>
      </c>
      <c r="AE69" s="3" t="n">
        <v>63</v>
      </c>
      <c r="AF69" s="3" t="n">
        <v>0</v>
      </c>
      <c r="AG69" s="3" t="n">
        <v>2</v>
      </c>
      <c r="AH69" s="3" t="n">
        <v>4.06504</v>
      </c>
      <c r="AI69" s="3" t="n">
        <v>99</v>
      </c>
      <c r="AJ69" s="2" t="n">
        <f aca="false">IF(V69="Optimal", 1, 0)</f>
        <v>0</v>
      </c>
      <c r="AK69" s="29" t="b">
        <f aca="false">IF(AJ69=1, W69-G69)</f>
        <v>0</v>
      </c>
      <c r="AL69" s="4" t="n">
        <f aca="false">IF(AND(AH69&lt;&gt;-1, G69&lt;&gt;"-", G69&lt;&gt;"."), ((G69-AH69)/G69)*100, -1)</f>
        <v>-1</v>
      </c>
      <c r="AN69" s="5" t="n">
        <f aca="false">IF(AND(AO69=C69, A69=AP69), 1, 0)</f>
        <v>1</v>
      </c>
      <c r="AO69" s="5" t="s">
        <v>121</v>
      </c>
      <c r="AP69" s="5" t="n">
        <v>5</v>
      </c>
      <c r="AQ69" s="5" t="n">
        <v>3600</v>
      </c>
      <c r="AR69" s="5" t="n">
        <v>125</v>
      </c>
      <c r="AS69" s="5" t="n">
        <v>943</v>
      </c>
      <c r="AT69" s="28" t="n">
        <v>3600</v>
      </c>
      <c r="AU69" s="28" t="s">
        <v>54</v>
      </c>
      <c r="AV69" s="28" t="n">
        <v>118.166</v>
      </c>
      <c r="AW69" s="28" t="n">
        <v>101</v>
      </c>
      <c r="AX69" s="28" t="n">
        <v>24</v>
      </c>
      <c r="AY69" s="28" t="n">
        <v>599</v>
      </c>
      <c r="AZ69" s="28" t="n">
        <v>5234</v>
      </c>
      <c r="BA69" s="28" t="n">
        <v>64365</v>
      </c>
      <c r="BB69" s="6" t="n">
        <f aca="false">IF(AU69="Optimal", 1, 0)</f>
        <v>0</v>
      </c>
    </row>
    <row r="70" customFormat="false" ht="12.8" hidden="false" customHeight="false" outlineLevel="0" collapsed="false">
      <c r="A70" s="1" t="n">
        <v>5</v>
      </c>
      <c r="B70" s="23" t="s">
        <v>67</v>
      </c>
      <c r="C70" s="24" t="s">
        <v>122</v>
      </c>
      <c r="D70" s="25" t="n">
        <v>125</v>
      </c>
      <c r="E70" s="25" t="n">
        <v>2982</v>
      </c>
      <c r="F70" s="25" t="n">
        <v>8</v>
      </c>
      <c r="G70" s="25" t="n">
        <v>56</v>
      </c>
      <c r="H70" s="3" t="n">
        <v>1</v>
      </c>
      <c r="I70" s="25" t="n">
        <v>1271.68</v>
      </c>
      <c r="J70" s="26" t="n">
        <f aca="false">IF(I70="tl", 0, 1)</f>
        <v>1</v>
      </c>
      <c r="K70" s="25" t="s">
        <v>53</v>
      </c>
      <c r="L70" s="26" t="n">
        <f aca="false">IF(K70="tl", 0, 1)</f>
        <v>0</v>
      </c>
      <c r="M70" s="25" t="s">
        <v>53</v>
      </c>
      <c r="N70" s="26" t="n">
        <f aca="false">IF(M70="tl", 0, 1)</f>
        <v>0</v>
      </c>
      <c r="P70" s="23" t="n">
        <v>4</v>
      </c>
      <c r="Q70" s="23"/>
      <c r="R70" s="2" t="n">
        <f aca="false">IF(S70=C70, 1, 0)</f>
        <v>1</v>
      </c>
      <c r="S70" s="27" t="s">
        <v>122</v>
      </c>
      <c r="T70" s="27" t="n">
        <v>125</v>
      </c>
      <c r="U70" s="27" t="n">
        <v>2982</v>
      </c>
      <c r="V70" s="3" t="s">
        <v>54</v>
      </c>
      <c r="W70" s="3" t="n">
        <v>115</v>
      </c>
      <c r="X70" s="3" t="n">
        <v>4.06504</v>
      </c>
      <c r="Y70" s="3" t="n">
        <v>1800.2</v>
      </c>
      <c r="Z70" s="3" t="n">
        <v>91.5541</v>
      </c>
      <c r="AA70" s="3" t="n">
        <v>5874</v>
      </c>
      <c r="AB70" s="3" t="n">
        <v>3</v>
      </c>
      <c r="AC70" s="3" t="n">
        <v>12053</v>
      </c>
      <c r="AD70" s="3" t="n">
        <v>21000</v>
      </c>
      <c r="AE70" s="3" t="n">
        <v>4</v>
      </c>
      <c r="AF70" s="3" t="n">
        <v>0</v>
      </c>
      <c r="AG70" s="3" t="n">
        <v>1</v>
      </c>
      <c r="AH70" s="3" t="n">
        <v>4.06504</v>
      </c>
      <c r="AI70" s="3" t="n">
        <v>115</v>
      </c>
      <c r="AJ70" s="2" t="n">
        <f aca="false">IF(V70="Optimal", 1, 0)</f>
        <v>0</v>
      </c>
      <c r="AK70" s="29" t="b">
        <f aca="false">IF(AJ70=1, W70-G70)</f>
        <v>0</v>
      </c>
      <c r="AL70" s="4" t="n">
        <f aca="false">IF(AND(AH70&lt;&gt;-1, G70&lt;&gt;"-", G70&lt;&gt;"."), ((G70-AH70)/G70)*100, -1)</f>
        <v>92.741</v>
      </c>
      <c r="AN70" s="5" t="n">
        <f aca="false">IF(AND(AO70=C70, A70=AP70), 1, 0)</f>
        <v>1</v>
      </c>
      <c r="AO70" s="5" t="s">
        <v>122</v>
      </c>
      <c r="AP70" s="5" t="n">
        <v>5</v>
      </c>
      <c r="AQ70" s="5" t="n">
        <v>3600</v>
      </c>
      <c r="AR70" s="5" t="n">
        <v>125</v>
      </c>
      <c r="AS70" s="5" t="n">
        <v>2982</v>
      </c>
      <c r="AT70" s="28" t="n">
        <v>3600</v>
      </c>
      <c r="AU70" s="28" t="s">
        <v>54</v>
      </c>
      <c r="AV70" s="28" t="n">
        <v>110.667</v>
      </c>
      <c r="AW70" s="28" t="n">
        <v>60</v>
      </c>
      <c r="AX70" s="28" t="n">
        <v>65</v>
      </c>
      <c r="AY70" s="28" t="n">
        <v>586</v>
      </c>
      <c r="AZ70" s="28" t="n">
        <v>16143</v>
      </c>
      <c r="BA70" s="28" t="n">
        <v>17810</v>
      </c>
      <c r="BB70" s="6" t="n">
        <f aca="false">IF(AU70="Optimal", 1, 0)</f>
        <v>0</v>
      </c>
    </row>
    <row r="71" customFormat="false" ht="12.8" hidden="false" customHeight="false" outlineLevel="0" collapsed="false">
      <c r="A71" s="1" t="n">
        <v>5</v>
      </c>
      <c r="B71" s="23" t="s">
        <v>67</v>
      </c>
      <c r="C71" s="24" t="s">
        <v>123</v>
      </c>
      <c r="D71" s="25" t="n">
        <v>125</v>
      </c>
      <c r="E71" s="25" t="n">
        <v>3392</v>
      </c>
      <c r="F71" s="25" t="n">
        <v>9</v>
      </c>
      <c r="G71" s="25" t="n">
        <v>16</v>
      </c>
      <c r="H71" s="3" t="n">
        <v>1</v>
      </c>
      <c r="I71" s="25" t="n">
        <v>2.23</v>
      </c>
      <c r="J71" s="26" t="n">
        <f aca="false">IF(I71="tl", 0, 1)</f>
        <v>1</v>
      </c>
      <c r="K71" s="25" t="s">
        <v>53</v>
      </c>
      <c r="L71" s="26" t="n">
        <f aca="false">IF(K71="tl", 0, 1)</f>
        <v>0</v>
      </c>
      <c r="M71" s="25" t="n">
        <v>2195.21</v>
      </c>
      <c r="N71" s="26" t="n">
        <f aca="false">IF(M71="tl", 0, 1)</f>
        <v>1</v>
      </c>
      <c r="P71" s="23" t="n">
        <v>1</v>
      </c>
      <c r="Q71" s="23"/>
      <c r="R71" s="2" t="n">
        <f aca="false">IF(S71=C71, 1, 0)</f>
        <v>1</v>
      </c>
      <c r="S71" s="27" t="s">
        <v>123</v>
      </c>
      <c r="T71" s="27" t="n">
        <v>125</v>
      </c>
      <c r="U71" s="27" t="n">
        <v>3392</v>
      </c>
      <c r="V71" s="3" t="s">
        <v>54</v>
      </c>
      <c r="W71" s="3" t="n">
        <v>115</v>
      </c>
      <c r="X71" s="3" t="n">
        <v>5</v>
      </c>
      <c r="Y71" s="3" t="n">
        <v>1800.03</v>
      </c>
      <c r="Z71" s="3" t="n">
        <v>194.634</v>
      </c>
      <c r="AA71" s="3" t="n">
        <v>6678</v>
      </c>
      <c r="AB71" s="3" t="n">
        <v>8</v>
      </c>
      <c r="AC71" s="3" t="n">
        <v>13693</v>
      </c>
      <c r="AD71" s="3" t="n">
        <v>23870</v>
      </c>
      <c r="AE71" s="3" t="n">
        <v>8</v>
      </c>
      <c r="AF71" s="3" t="n">
        <v>0</v>
      </c>
      <c r="AG71" s="3" t="n">
        <v>6</v>
      </c>
      <c r="AH71" s="3" t="n">
        <v>4.02479</v>
      </c>
      <c r="AI71" s="3" t="n">
        <v>115</v>
      </c>
      <c r="AJ71" s="2" t="n">
        <f aca="false">IF(V71="Optimal", 1, 0)</f>
        <v>0</v>
      </c>
      <c r="AK71" s="29" t="b">
        <f aca="false">IF(AJ71=1, W71-G71)</f>
        <v>0</v>
      </c>
      <c r="AL71" s="4" t="n">
        <f aca="false">IF(AND(AH71&lt;&gt;-1, G71&lt;&gt;"-", G71&lt;&gt;"."), ((G71-AH71)/G71)*100, -1)</f>
        <v>74.8450625</v>
      </c>
      <c r="AN71" s="5" t="n">
        <f aca="false">IF(AND(AO71=C71, A71=AP71), 1, 0)</f>
        <v>1</v>
      </c>
      <c r="AO71" s="5" t="s">
        <v>123</v>
      </c>
      <c r="AP71" s="5" t="n">
        <v>5</v>
      </c>
      <c r="AQ71" s="5" t="n">
        <v>3600</v>
      </c>
      <c r="AR71" s="5" t="n">
        <v>125</v>
      </c>
      <c r="AS71" s="5" t="n">
        <v>3392</v>
      </c>
      <c r="AT71" s="28" t="n">
        <v>185.788</v>
      </c>
      <c r="AU71" s="28" t="s">
        <v>51</v>
      </c>
      <c r="AV71" s="28" t="n">
        <v>109</v>
      </c>
      <c r="AW71" s="28" t="n">
        <v>109</v>
      </c>
      <c r="AX71" s="28" t="n">
        <v>16</v>
      </c>
      <c r="AY71" s="28" t="n">
        <v>445</v>
      </c>
      <c r="AZ71" s="28" t="n">
        <v>1656</v>
      </c>
      <c r="BA71" s="28" t="n">
        <v>147</v>
      </c>
      <c r="BB71" s="6" t="n">
        <f aca="false">IF(AU71="Optimal", 1, 0)</f>
        <v>1</v>
      </c>
    </row>
    <row r="72" customFormat="false" ht="12.8" hidden="false" customHeight="false" outlineLevel="0" collapsed="false">
      <c r="A72" s="1" t="n">
        <v>5</v>
      </c>
      <c r="B72" s="23" t="s">
        <v>67</v>
      </c>
      <c r="C72" s="24" t="s">
        <v>124</v>
      </c>
      <c r="D72" s="25" t="n">
        <v>125</v>
      </c>
      <c r="E72" s="25" t="n">
        <v>1177</v>
      </c>
      <c r="F72" s="25" t="n">
        <v>19</v>
      </c>
      <c r="G72" s="25" t="n">
        <v>27</v>
      </c>
      <c r="H72" s="3" t="n">
        <v>1</v>
      </c>
      <c r="I72" s="25" t="n">
        <v>3244.87</v>
      </c>
      <c r="J72" s="26" t="n">
        <f aca="false">IF(I72="tl", 0, 1)</f>
        <v>1</v>
      </c>
      <c r="K72" s="25" t="s">
        <v>53</v>
      </c>
      <c r="L72" s="26" t="n">
        <f aca="false">IF(K72="tl", 0, 1)</f>
        <v>0</v>
      </c>
      <c r="M72" s="25" t="s">
        <v>53</v>
      </c>
      <c r="N72" s="26" t="n">
        <f aca="false">IF(M72="tl", 0, 1)</f>
        <v>0</v>
      </c>
      <c r="P72" s="23" t="n">
        <v>0</v>
      </c>
      <c r="Q72" s="23"/>
      <c r="R72" s="2" t="n">
        <f aca="false">IF(S72=C72, 1, 0)</f>
        <v>1</v>
      </c>
      <c r="S72" s="27" t="s">
        <v>124</v>
      </c>
      <c r="T72" s="27" t="n">
        <v>125</v>
      </c>
      <c r="U72" s="27" t="n">
        <v>1177</v>
      </c>
      <c r="V72" s="3" t="s">
        <v>54</v>
      </c>
      <c r="W72" s="3" t="n">
        <v>103</v>
      </c>
      <c r="X72" s="3" t="n">
        <v>5.2766</v>
      </c>
      <c r="Y72" s="3" t="n">
        <v>1800</v>
      </c>
      <c r="Z72" s="3" t="n">
        <v>206.864</v>
      </c>
      <c r="AA72" s="3" t="n">
        <v>10366</v>
      </c>
      <c r="AB72" s="3" t="n">
        <v>6</v>
      </c>
      <c r="AC72" s="3" t="n">
        <v>4833</v>
      </c>
      <c r="AD72" s="3" t="n">
        <v>8365</v>
      </c>
      <c r="AE72" s="3" t="n">
        <v>25</v>
      </c>
      <c r="AF72" s="3" t="n">
        <v>0</v>
      </c>
      <c r="AG72" s="3" t="n">
        <v>3</v>
      </c>
      <c r="AH72" s="3" t="n">
        <v>4.06504</v>
      </c>
      <c r="AI72" s="30" t="n">
        <v>103</v>
      </c>
      <c r="AJ72" s="2" t="n">
        <f aca="false">IF(V72="Optimal", 1, 0)</f>
        <v>0</v>
      </c>
      <c r="AK72" s="29" t="b">
        <f aca="false">IF(AJ72=1, W72-G72)</f>
        <v>0</v>
      </c>
      <c r="AL72" s="4" t="n">
        <f aca="false">IF(AND(AH72&lt;&gt;-1, G72&lt;&gt;"-", G72&lt;&gt;"."), ((G72-AH72)/G72)*100, -1)</f>
        <v>84.9442962962963</v>
      </c>
      <c r="AN72" s="5" t="n">
        <f aca="false">IF(AND(AO72=C72, A72=AP72), 1, 0)</f>
        <v>1</v>
      </c>
      <c r="AO72" s="5" t="s">
        <v>124</v>
      </c>
      <c r="AP72" s="5" t="n">
        <v>5</v>
      </c>
      <c r="AQ72" s="5" t="n">
        <v>3600</v>
      </c>
      <c r="AR72" s="5" t="n">
        <v>125</v>
      </c>
      <c r="AS72" s="5" t="n">
        <v>1177</v>
      </c>
      <c r="AT72" s="28" t="n">
        <v>3600</v>
      </c>
      <c r="AU72" s="28" t="s">
        <v>54</v>
      </c>
      <c r="AV72" s="28" t="n">
        <v>115.686</v>
      </c>
      <c r="AW72" s="28" t="n">
        <v>98</v>
      </c>
      <c r="AX72" s="28" t="n">
        <v>27</v>
      </c>
      <c r="AY72" s="28" t="n">
        <v>578</v>
      </c>
      <c r="AZ72" s="28" t="n">
        <v>5678</v>
      </c>
      <c r="BA72" s="28" t="n">
        <v>22031</v>
      </c>
      <c r="BB72" s="6" t="n">
        <f aca="false">IF(AU72="Optimal", 1, 0)</f>
        <v>0</v>
      </c>
    </row>
    <row r="73" customFormat="false" ht="12.8" hidden="false" customHeight="false" outlineLevel="0" collapsed="false">
      <c r="A73" s="1" t="n">
        <v>5</v>
      </c>
      <c r="B73" s="23" t="s">
        <v>67</v>
      </c>
      <c r="C73" s="24" t="s">
        <v>125</v>
      </c>
      <c r="D73" s="25" t="n">
        <v>125</v>
      </c>
      <c r="E73" s="25" t="n">
        <v>1218</v>
      </c>
      <c r="F73" s="25" t="n">
        <v>17</v>
      </c>
      <c r="G73" s="25" t="s">
        <v>77</v>
      </c>
      <c r="H73" s="3" t="n">
        <v>0</v>
      </c>
      <c r="I73" s="25" t="s">
        <v>53</v>
      </c>
      <c r="J73" s="26" t="n">
        <f aca="false">IF(I73="tl", 0, 1)</f>
        <v>0</v>
      </c>
      <c r="K73" s="25" t="s">
        <v>53</v>
      </c>
      <c r="L73" s="26" t="n">
        <f aca="false">IF(K73="tl", 0, 1)</f>
        <v>0</v>
      </c>
      <c r="M73" s="25" t="s">
        <v>53</v>
      </c>
      <c r="N73" s="26" t="n">
        <f aca="false">IF(M73="tl", 0, 1)</f>
        <v>0</v>
      </c>
      <c r="P73" s="23" t="n">
        <v>0</v>
      </c>
      <c r="Q73" s="23"/>
      <c r="R73" s="2" t="n">
        <f aca="false">IF(S73=C73, 1, 0)</f>
        <v>1</v>
      </c>
      <c r="S73" s="27" t="s">
        <v>125</v>
      </c>
      <c r="T73" s="27" t="n">
        <v>125</v>
      </c>
      <c r="U73" s="27" t="n">
        <v>1218</v>
      </c>
      <c r="V73" s="3" t="s">
        <v>54</v>
      </c>
      <c r="W73" s="30" t="n">
        <v>106</v>
      </c>
      <c r="X73" s="3" t="n">
        <v>4.86275</v>
      </c>
      <c r="Y73" s="3" t="n">
        <v>1800.02</v>
      </c>
      <c r="Z73" s="3" t="n">
        <v>329.141</v>
      </c>
      <c r="AA73" s="3" t="n">
        <v>9963</v>
      </c>
      <c r="AB73" s="3" t="n">
        <v>6</v>
      </c>
      <c r="AC73" s="3" t="n">
        <v>4997</v>
      </c>
      <c r="AD73" s="3" t="n">
        <v>8652</v>
      </c>
      <c r="AE73" s="3" t="n">
        <v>7</v>
      </c>
      <c r="AF73" s="3" t="n">
        <v>0</v>
      </c>
      <c r="AG73" s="3" t="n">
        <v>3</v>
      </c>
      <c r="AH73" s="3" t="n">
        <v>4.06504</v>
      </c>
      <c r="AI73" s="3" t="n">
        <v>106</v>
      </c>
      <c r="AJ73" s="2" t="n">
        <f aca="false">IF(V73="Optimal", 1, 0)</f>
        <v>0</v>
      </c>
      <c r="AK73" s="29" t="b">
        <f aca="false">IF(AJ73=1, W73-G73)</f>
        <v>0</v>
      </c>
      <c r="AL73" s="4" t="n">
        <f aca="false">IF(AND(AH73&lt;&gt;-1, G73&lt;&gt;"-", G73&lt;&gt;"."), ((G73-AH73)/G73)*100, -1)</f>
        <v>-1</v>
      </c>
      <c r="AN73" s="5" t="n">
        <f aca="false">IF(AND(AO73=C73, A73=AP73), 1, 0)</f>
        <v>1</v>
      </c>
      <c r="AO73" s="5" t="s">
        <v>125</v>
      </c>
      <c r="AP73" s="5" t="n">
        <v>5</v>
      </c>
      <c r="AQ73" s="5" t="n">
        <v>3600</v>
      </c>
      <c r="AR73" s="5" t="n">
        <v>125</v>
      </c>
      <c r="AS73" s="5" t="n">
        <v>1218</v>
      </c>
      <c r="AT73" s="28" t="n">
        <v>3600</v>
      </c>
      <c r="AU73" s="28" t="s">
        <v>54</v>
      </c>
      <c r="AV73" s="28" t="n">
        <v>117.069</v>
      </c>
      <c r="AW73" s="28" t="n">
        <v>98</v>
      </c>
      <c r="AX73" s="28" t="n">
        <v>27</v>
      </c>
      <c r="AY73" s="28" t="n">
        <v>585</v>
      </c>
      <c r="AZ73" s="28" t="n">
        <v>6367</v>
      </c>
      <c r="BA73" s="28" t="n">
        <v>19466</v>
      </c>
      <c r="BB73" s="6" t="n">
        <f aca="false">IF(AU73="Optimal", 1, 0)</f>
        <v>0</v>
      </c>
    </row>
    <row r="74" customFormat="false" ht="12.8" hidden="false" customHeight="false" outlineLevel="0" collapsed="false">
      <c r="A74" s="1" t="n">
        <v>5</v>
      </c>
      <c r="B74" s="23" t="s">
        <v>67</v>
      </c>
      <c r="C74" s="24" t="s">
        <v>126</v>
      </c>
      <c r="D74" s="25" t="n">
        <v>125</v>
      </c>
      <c r="E74" s="25" t="n">
        <v>444</v>
      </c>
      <c r="F74" s="25" t="n">
        <v>39</v>
      </c>
      <c r="G74" s="25" t="n">
        <v>5</v>
      </c>
      <c r="H74" s="3" t="n">
        <v>1</v>
      </c>
      <c r="I74" s="25" t="n">
        <v>38.97</v>
      </c>
      <c r="J74" s="26" t="n">
        <f aca="false">IF(I74="tl", 0, 1)</f>
        <v>1</v>
      </c>
      <c r="K74" s="25" t="n">
        <v>23.8</v>
      </c>
      <c r="L74" s="26" t="n">
        <f aca="false">IF(K74="tl", 0, 1)</f>
        <v>1</v>
      </c>
      <c r="M74" s="25" t="n">
        <v>2.74</v>
      </c>
      <c r="N74" s="26" t="n">
        <f aca="false">IF(M74="tl", 0, 1)</f>
        <v>1</v>
      </c>
      <c r="P74" s="23" t="n">
        <v>0</v>
      </c>
      <c r="Q74" s="23"/>
      <c r="R74" s="2" t="n">
        <f aca="false">IF(S74=C74, 1, 0)</f>
        <v>1</v>
      </c>
      <c r="S74" s="27" t="s">
        <v>126</v>
      </c>
      <c r="T74" s="27" t="n">
        <v>125</v>
      </c>
      <c r="U74" s="27" t="n">
        <v>444</v>
      </c>
      <c r="V74" s="3" t="s">
        <v>51</v>
      </c>
      <c r="W74" s="30" t="n">
        <v>5</v>
      </c>
      <c r="X74" s="3" t="n">
        <v>5</v>
      </c>
      <c r="Y74" s="3" t="n">
        <v>35.2578</v>
      </c>
      <c r="Z74" s="3" t="n">
        <v>15.664</v>
      </c>
      <c r="AA74" s="3" t="n">
        <v>1309</v>
      </c>
      <c r="AB74" s="3" t="n">
        <v>5</v>
      </c>
      <c r="AC74" s="3" t="n">
        <v>1901</v>
      </c>
      <c r="AD74" s="3" t="n">
        <v>3234</v>
      </c>
      <c r="AE74" s="3" t="n">
        <v>96</v>
      </c>
      <c r="AF74" s="3" t="n">
        <v>0</v>
      </c>
      <c r="AG74" s="3" t="n">
        <v>3</v>
      </c>
      <c r="AH74" s="3" t="n">
        <v>4</v>
      </c>
      <c r="AI74" s="3" t="n">
        <v>21</v>
      </c>
      <c r="AJ74" s="2" t="n">
        <f aca="false">IF(V74="Optimal", 1, 0)</f>
        <v>1</v>
      </c>
      <c r="AK74" s="3" t="n">
        <f aca="false">IF(AJ74=1, W74-G74)</f>
        <v>0</v>
      </c>
      <c r="AL74" s="4" t="n">
        <f aca="false">IF(AND(AH74&lt;&gt;-1, G74&lt;&gt;"-", G74&lt;&gt;"."), ((G74-AH74)/G74)*100, -1)</f>
        <v>20</v>
      </c>
      <c r="AN74" s="5" t="n">
        <f aca="false">IF(AND(AO74=C74, A74=AP74), 1, 0)</f>
        <v>1</v>
      </c>
      <c r="AO74" s="5" t="s">
        <v>126</v>
      </c>
      <c r="AP74" s="5" t="n">
        <v>5</v>
      </c>
      <c r="AQ74" s="5" t="n">
        <v>3600</v>
      </c>
      <c r="AR74" s="5" t="n">
        <v>125</v>
      </c>
      <c r="AS74" s="5" t="n">
        <v>444</v>
      </c>
      <c r="AT74" s="28" t="n">
        <v>259.976</v>
      </c>
      <c r="AU74" s="28" t="s">
        <v>51</v>
      </c>
      <c r="AV74" s="28" t="n">
        <v>120</v>
      </c>
      <c r="AW74" s="28" t="n">
        <v>120</v>
      </c>
      <c r="AX74" s="28" t="n">
        <v>5</v>
      </c>
      <c r="AY74" s="28" t="n">
        <v>615</v>
      </c>
      <c r="AZ74" s="28" t="n">
        <v>2554</v>
      </c>
      <c r="BA74" s="28" t="n">
        <v>3362</v>
      </c>
      <c r="BB74" s="6" t="n">
        <f aca="false">IF(AU74="Optimal", 1, 0)</f>
        <v>1</v>
      </c>
    </row>
    <row r="75" customFormat="false" ht="12.8" hidden="false" customHeight="false" outlineLevel="0" collapsed="false">
      <c r="A75" s="1" t="n">
        <v>5</v>
      </c>
      <c r="B75" s="23" t="s">
        <v>67</v>
      </c>
      <c r="C75" s="24" t="s">
        <v>127</v>
      </c>
      <c r="D75" s="25" t="n">
        <v>125</v>
      </c>
      <c r="E75" s="25" t="n">
        <v>386</v>
      </c>
      <c r="F75" s="25" t="n">
        <v>45</v>
      </c>
      <c r="G75" s="25" t="n">
        <v>5</v>
      </c>
      <c r="H75" s="3" t="n">
        <v>1</v>
      </c>
      <c r="I75" s="25" t="n">
        <v>16.82</v>
      </c>
      <c r="J75" s="26" t="n">
        <f aca="false">IF(I75="tl", 0, 1)</f>
        <v>1</v>
      </c>
      <c r="K75" s="25" t="n">
        <v>21.25</v>
      </c>
      <c r="L75" s="26" t="n">
        <f aca="false">IF(K75="tl", 0, 1)</f>
        <v>1</v>
      </c>
      <c r="M75" s="25" t="n">
        <v>4.6</v>
      </c>
      <c r="N75" s="26" t="n">
        <f aca="false">IF(M75="tl", 0, 1)</f>
        <v>1</v>
      </c>
      <c r="P75" s="23" t="n">
        <v>0</v>
      </c>
      <c r="Q75" s="23"/>
      <c r="R75" s="2" t="n">
        <f aca="false">IF(S75=C75, 1, 0)</f>
        <v>1</v>
      </c>
      <c r="S75" s="27" t="s">
        <v>127</v>
      </c>
      <c r="T75" s="27" t="n">
        <v>125</v>
      </c>
      <c r="U75" s="27" t="n">
        <v>386</v>
      </c>
      <c r="V75" s="3" t="s">
        <v>51</v>
      </c>
      <c r="W75" s="3" t="n">
        <v>5</v>
      </c>
      <c r="X75" s="3" t="n">
        <v>5</v>
      </c>
      <c r="Y75" s="3" t="n">
        <v>27.8319</v>
      </c>
      <c r="Z75" s="3" t="n">
        <v>10.9007</v>
      </c>
      <c r="AA75" s="3" t="n">
        <v>928</v>
      </c>
      <c r="AB75" s="3" t="n">
        <v>6</v>
      </c>
      <c r="AC75" s="3" t="n">
        <v>1669</v>
      </c>
      <c r="AD75" s="3" t="n">
        <v>2828</v>
      </c>
      <c r="AE75" s="3" t="n">
        <v>98</v>
      </c>
      <c r="AF75" s="3" t="n">
        <v>0</v>
      </c>
      <c r="AG75" s="3" t="n">
        <v>3</v>
      </c>
      <c r="AH75" s="3" t="n">
        <v>3.96396</v>
      </c>
      <c r="AI75" s="3" t="n">
        <v>41</v>
      </c>
      <c r="AJ75" s="2" t="n">
        <f aca="false">IF(V75="Optimal", 1, 0)</f>
        <v>1</v>
      </c>
      <c r="AK75" s="3" t="n">
        <f aca="false">IF(AJ75=1, W75-G75)</f>
        <v>0</v>
      </c>
      <c r="AL75" s="4" t="n">
        <f aca="false">IF(AND(AH75&lt;&gt;-1, G75&lt;&gt;"-", G75&lt;&gt;"."), ((G75-AH75)/G75)*100, -1)</f>
        <v>20.7208</v>
      </c>
      <c r="AN75" s="5" t="n">
        <f aca="false">IF(AND(AO75=C75, A75=AP75), 1, 0)</f>
        <v>1</v>
      </c>
      <c r="AO75" s="5" t="s">
        <v>127</v>
      </c>
      <c r="AP75" s="5" t="n">
        <v>5</v>
      </c>
      <c r="AQ75" s="5" t="n">
        <v>3600</v>
      </c>
      <c r="AR75" s="5" t="n">
        <v>125</v>
      </c>
      <c r="AS75" s="5" t="n">
        <v>386</v>
      </c>
      <c r="AT75" s="28" t="n">
        <v>128.035</v>
      </c>
      <c r="AU75" s="28" t="s">
        <v>51</v>
      </c>
      <c r="AV75" s="28" t="n">
        <v>120</v>
      </c>
      <c r="AW75" s="28" t="n">
        <v>120</v>
      </c>
      <c r="AX75" s="28" t="n">
        <v>5</v>
      </c>
      <c r="AY75" s="28" t="n">
        <v>615</v>
      </c>
      <c r="AZ75" s="28" t="n">
        <v>1335</v>
      </c>
      <c r="BA75" s="28" t="n">
        <v>916</v>
      </c>
      <c r="BB75" s="6" t="n">
        <f aca="false">IF(AU75="Optimal", 1, 0)</f>
        <v>1</v>
      </c>
    </row>
    <row r="76" customFormat="false" ht="12.8" hidden="false" customHeight="false" outlineLevel="0" collapsed="false">
      <c r="A76" s="1" t="n">
        <v>5</v>
      </c>
      <c r="B76" s="23" t="s">
        <v>67</v>
      </c>
      <c r="C76" s="24" t="s">
        <v>128</v>
      </c>
      <c r="D76" s="25" t="n">
        <v>80</v>
      </c>
      <c r="E76" s="25" t="n">
        <v>1201</v>
      </c>
      <c r="F76" s="25" t="n">
        <v>31</v>
      </c>
      <c r="G76" s="25" t="n">
        <v>10</v>
      </c>
      <c r="H76" s="3" t="n">
        <v>1</v>
      </c>
      <c r="I76" s="25" t="n">
        <v>0.53</v>
      </c>
      <c r="J76" s="26" t="n">
        <f aca="false">IF(I76="tl", 0, 1)</f>
        <v>1</v>
      </c>
      <c r="K76" s="25" t="s">
        <v>53</v>
      </c>
      <c r="L76" s="26" t="n">
        <f aca="false">IF(K76="tl", 0, 1)</f>
        <v>0</v>
      </c>
      <c r="M76" s="25" t="n">
        <v>0.39</v>
      </c>
      <c r="N76" s="26" t="n">
        <f aca="false">IF(M76="tl", 0, 1)</f>
        <v>1</v>
      </c>
      <c r="P76" s="23" t="n">
        <v>0</v>
      </c>
      <c r="Q76" s="23"/>
      <c r="R76" s="2" t="n">
        <f aca="false">IF(S76=C76, 1, 0)</f>
        <v>1</v>
      </c>
      <c r="S76" s="27" t="s">
        <v>128</v>
      </c>
      <c r="T76" s="27" t="n">
        <v>80</v>
      </c>
      <c r="U76" s="27" t="n">
        <v>1201</v>
      </c>
      <c r="V76" s="3" t="s">
        <v>54</v>
      </c>
      <c r="W76" s="3" t="n">
        <v>58</v>
      </c>
      <c r="X76" s="3" t="n">
        <v>4.44444</v>
      </c>
      <c r="Y76" s="3" t="n">
        <v>1800</v>
      </c>
      <c r="Z76" s="3" t="n">
        <v>55.5239</v>
      </c>
      <c r="AA76" s="3" t="n">
        <v>2768</v>
      </c>
      <c r="AB76" s="3" t="n">
        <v>6</v>
      </c>
      <c r="AC76" s="3" t="n">
        <v>4884</v>
      </c>
      <c r="AD76" s="3" t="n">
        <v>8488</v>
      </c>
      <c r="AE76" s="3" t="n">
        <v>11</v>
      </c>
      <c r="AF76" s="3" t="n">
        <v>0</v>
      </c>
      <c r="AG76" s="3" t="n">
        <v>4</v>
      </c>
      <c r="AH76" s="3" t="n">
        <v>4.10256</v>
      </c>
      <c r="AI76" s="3" t="n">
        <v>58</v>
      </c>
      <c r="AJ76" s="2" t="n">
        <f aca="false">IF(V76="Optimal", 1, 0)</f>
        <v>0</v>
      </c>
      <c r="AK76" s="29" t="b">
        <f aca="false">IF(AJ76=1, W76-G76)</f>
        <v>0</v>
      </c>
      <c r="AL76" s="4" t="n">
        <f aca="false">IF(AND(AH76&lt;&gt;-1, G76&lt;&gt;"-", G76&lt;&gt;"."), ((G76-AH76)/G76)*100, -1)</f>
        <v>58.9744</v>
      </c>
      <c r="AN76" s="5" t="n">
        <f aca="false">IF(AND(AO76=C76, A76=AP76), 1, 0)</f>
        <v>1</v>
      </c>
      <c r="AO76" s="5" t="s">
        <v>128</v>
      </c>
      <c r="AP76" s="5" t="n">
        <v>5</v>
      </c>
      <c r="AQ76" s="5" t="n">
        <v>3600</v>
      </c>
      <c r="AR76" s="5" t="n">
        <v>80</v>
      </c>
      <c r="AS76" s="5" t="n">
        <v>1201</v>
      </c>
      <c r="AT76" s="28" t="n">
        <v>63.9855</v>
      </c>
      <c r="AU76" s="28" t="s">
        <v>51</v>
      </c>
      <c r="AV76" s="28" t="n">
        <v>70</v>
      </c>
      <c r="AW76" s="28" t="n">
        <v>70</v>
      </c>
      <c r="AX76" s="28" t="n">
        <v>10</v>
      </c>
      <c r="AY76" s="28" t="n">
        <v>400</v>
      </c>
      <c r="AZ76" s="28" t="n">
        <v>5633</v>
      </c>
      <c r="BA76" s="28" t="n">
        <v>21</v>
      </c>
      <c r="BB76" s="6" t="n">
        <f aca="false">IF(AU76="Optimal", 1, 0)</f>
        <v>1</v>
      </c>
    </row>
    <row r="77" customFormat="false" ht="12.8" hidden="false" customHeight="false" outlineLevel="0" collapsed="false">
      <c r="A77" s="1" t="n">
        <v>5</v>
      </c>
      <c r="B77" s="23" t="s">
        <v>67</v>
      </c>
      <c r="C77" s="24" t="s">
        <v>129</v>
      </c>
      <c r="D77" s="25" t="n">
        <v>80</v>
      </c>
      <c r="E77" s="25" t="n">
        <v>1201</v>
      </c>
      <c r="F77" s="25" t="n">
        <v>5</v>
      </c>
      <c r="G77" s="25" t="s">
        <v>86</v>
      </c>
      <c r="H77" s="3" t="n">
        <v>1</v>
      </c>
      <c r="I77" s="25" t="s">
        <v>86</v>
      </c>
      <c r="J77" s="26" t="n">
        <f aca="false">IF(I77="tl", 0, 1)</f>
        <v>1</v>
      </c>
      <c r="K77" s="25" t="s">
        <v>86</v>
      </c>
      <c r="L77" s="26" t="n">
        <f aca="false">IF(K77="tl", 0, 1)</f>
        <v>1</v>
      </c>
      <c r="M77" s="25" t="s">
        <v>86</v>
      </c>
      <c r="N77" s="26" t="n">
        <f aca="false">IF(M77="tl", 0, 1)</f>
        <v>1</v>
      </c>
      <c r="P77" s="23" t="n">
        <v>52</v>
      </c>
      <c r="Q77" s="23"/>
      <c r="R77" s="2" t="n">
        <f aca="false">IF(S77=C77, 1, 0)</f>
        <v>1</v>
      </c>
      <c r="S77" s="27" t="s">
        <v>129</v>
      </c>
      <c r="T77" s="27" t="n">
        <v>80</v>
      </c>
      <c r="U77" s="27" t="n">
        <v>1201</v>
      </c>
      <c r="V77" s="3" t="s">
        <v>54</v>
      </c>
      <c r="W77" s="30" t="n">
        <v>1E+020</v>
      </c>
      <c r="X77" s="3" t="n">
        <v>5.1039</v>
      </c>
      <c r="Y77" s="3" t="n">
        <v>1800</v>
      </c>
      <c r="Z77" s="3" t="n">
        <v>67.9848</v>
      </c>
      <c r="AA77" s="3" t="n">
        <v>6581</v>
      </c>
      <c r="AB77" s="3" t="n">
        <v>13</v>
      </c>
      <c r="AC77" s="3" t="n">
        <v>4884</v>
      </c>
      <c r="AD77" s="3" t="n">
        <v>8488</v>
      </c>
      <c r="AE77" s="3" t="n">
        <v>3</v>
      </c>
      <c r="AF77" s="3" t="n">
        <v>0</v>
      </c>
      <c r="AG77" s="3" t="n">
        <v>7</v>
      </c>
      <c r="AH77" s="3" t="n">
        <v>4.10256</v>
      </c>
      <c r="AI77" s="30" t="n">
        <v>1E+020</v>
      </c>
      <c r="AJ77" s="2" t="n">
        <f aca="false">IF(V77="Optimal", 1, 0)</f>
        <v>0</v>
      </c>
      <c r="AK77" s="29" t="b">
        <f aca="false">IF(AJ77=1, W77-G77)</f>
        <v>0</v>
      </c>
      <c r="AL77" s="4" t="n">
        <f aca="false">IF(AND(AH77&lt;&gt;-1, G77&lt;&gt;"-", G77&lt;&gt;"."), ((G77-AH77)/G77)*100, -1)</f>
        <v>-1</v>
      </c>
      <c r="AN77" s="5" t="n">
        <f aca="false">IF(AND(AO77=C77, A77=AP77), 1, 0)</f>
        <v>1</v>
      </c>
      <c r="AO77" s="5" t="s">
        <v>129</v>
      </c>
      <c r="AP77" s="5" t="n">
        <v>5</v>
      </c>
      <c r="AQ77" s="5" t="n">
        <v>3600</v>
      </c>
      <c r="AR77" s="5" t="n">
        <v>80</v>
      </c>
      <c r="AS77" s="5" t="n">
        <v>1201</v>
      </c>
      <c r="AT77" s="28" t="n">
        <v>1091.53</v>
      </c>
      <c r="AU77" s="28" t="s">
        <v>51</v>
      </c>
      <c r="AV77" s="28" t="n">
        <v>28</v>
      </c>
      <c r="AW77" s="28" t="n">
        <v>28</v>
      </c>
      <c r="AX77" s="28" t="n">
        <v>52</v>
      </c>
      <c r="AY77" s="28" t="n">
        <v>360</v>
      </c>
      <c r="AZ77" s="28" t="n">
        <v>6520</v>
      </c>
      <c r="BA77" s="28" t="n">
        <v>26026</v>
      </c>
      <c r="BB77" s="6" t="n">
        <f aca="false">IF(AU77="Optimal", 1, 0)</f>
        <v>1</v>
      </c>
    </row>
    <row r="78" customFormat="false" ht="12.8" hidden="false" customHeight="false" outlineLevel="0" collapsed="false">
      <c r="A78" s="1" t="n">
        <v>5</v>
      </c>
      <c r="B78" s="23" t="s">
        <v>67</v>
      </c>
      <c r="C78" s="24" t="s">
        <v>130</v>
      </c>
      <c r="D78" s="25" t="n">
        <v>80</v>
      </c>
      <c r="E78" s="25" t="n">
        <v>1272</v>
      </c>
      <c r="F78" s="25" t="n">
        <v>6</v>
      </c>
      <c r="G78" s="25" t="n">
        <v>48</v>
      </c>
      <c r="H78" s="3" t="n">
        <v>1</v>
      </c>
      <c r="I78" s="25" t="n">
        <v>29.73</v>
      </c>
      <c r="J78" s="26" t="n">
        <f aca="false">IF(I78="tl", 0, 1)</f>
        <v>1</v>
      </c>
      <c r="K78" s="25" t="s">
        <v>53</v>
      </c>
      <c r="L78" s="26" t="n">
        <f aca="false">IF(K78="tl", 0, 1)</f>
        <v>0</v>
      </c>
      <c r="M78" s="25" t="s">
        <v>53</v>
      </c>
      <c r="N78" s="26" t="n">
        <f aca="false">IF(M78="tl", 0, 1)</f>
        <v>0</v>
      </c>
      <c r="P78" s="23" t="n">
        <v>4</v>
      </c>
      <c r="Q78" s="23"/>
      <c r="R78" s="2" t="n">
        <f aca="false">IF(S78=C78, 1, 0)</f>
        <v>1</v>
      </c>
      <c r="S78" s="27" t="s">
        <v>130</v>
      </c>
      <c r="T78" s="27" t="n">
        <v>80</v>
      </c>
      <c r="U78" s="27" t="n">
        <v>1272</v>
      </c>
      <c r="V78" s="3" t="s">
        <v>54</v>
      </c>
      <c r="W78" s="30" t="n">
        <v>71</v>
      </c>
      <c r="X78" s="3" t="n">
        <v>4.10256</v>
      </c>
      <c r="Y78" s="3" t="n">
        <v>1800</v>
      </c>
      <c r="Z78" s="3" t="n">
        <v>59.98</v>
      </c>
      <c r="AA78" s="3" t="n">
        <v>7984</v>
      </c>
      <c r="AB78" s="3" t="n">
        <v>3</v>
      </c>
      <c r="AC78" s="3" t="n">
        <v>5168</v>
      </c>
      <c r="AD78" s="3" t="n">
        <v>8985</v>
      </c>
      <c r="AE78" s="3" t="n">
        <v>5</v>
      </c>
      <c r="AF78" s="3" t="n">
        <v>0</v>
      </c>
      <c r="AG78" s="3" t="n">
        <v>1</v>
      </c>
      <c r="AH78" s="3" t="n">
        <v>4.10256</v>
      </c>
      <c r="AI78" s="30" t="n">
        <v>71</v>
      </c>
      <c r="AJ78" s="2" t="n">
        <f aca="false">IF(V78="Optimal", 1, 0)</f>
        <v>0</v>
      </c>
      <c r="AK78" s="29" t="b">
        <f aca="false">IF(AJ78=1, W78-G78)</f>
        <v>0</v>
      </c>
      <c r="AL78" s="4" t="n">
        <f aca="false">IF(AND(AH78&lt;&gt;-1, G78&lt;&gt;"-", G78&lt;&gt;"."), ((G78-AH78)/G78)*100, -1)</f>
        <v>91.453</v>
      </c>
      <c r="AN78" s="5" t="n">
        <f aca="false">IF(AND(AO78=C78, A78=AP78), 1, 0)</f>
        <v>1</v>
      </c>
      <c r="AO78" s="5" t="s">
        <v>130</v>
      </c>
      <c r="AP78" s="5" t="n">
        <v>5</v>
      </c>
      <c r="AQ78" s="5" t="n">
        <v>3600</v>
      </c>
      <c r="AR78" s="5" t="n">
        <v>80</v>
      </c>
      <c r="AS78" s="5" t="n">
        <v>1272</v>
      </c>
      <c r="AT78" s="28" t="n">
        <v>1421.18</v>
      </c>
      <c r="AU78" s="28" t="s">
        <v>51</v>
      </c>
      <c r="AV78" s="28" t="n">
        <v>32</v>
      </c>
      <c r="AW78" s="28" t="n">
        <v>32</v>
      </c>
      <c r="AX78" s="28" t="n">
        <v>48</v>
      </c>
      <c r="AY78" s="28" t="n">
        <v>377</v>
      </c>
      <c r="AZ78" s="28" t="n">
        <v>5316</v>
      </c>
      <c r="BA78" s="28" t="n">
        <v>34458</v>
      </c>
      <c r="BB78" s="6" t="n">
        <f aca="false">IF(AU78="Optimal", 1, 0)</f>
        <v>1</v>
      </c>
    </row>
    <row r="79" customFormat="false" ht="12.8" hidden="false" customHeight="false" outlineLevel="0" collapsed="false">
      <c r="A79" s="1" t="n">
        <v>5</v>
      </c>
      <c r="B79" s="23" t="s">
        <v>67</v>
      </c>
      <c r="C79" s="24" t="s">
        <v>131</v>
      </c>
      <c r="D79" s="25" t="n">
        <v>80</v>
      </c>
      <c r="E79" s="25" t="n">
        <v>1786</v>
      </c>
      <c r="F79" s="25" t="n">
        <v>15</v>
      </c>
      <c r="G79" s="25" t="n">
        <v>15</v>
      </c>
      <c r="H79" s="3" t="n">
        <v>1</v>
      </c>
      <c r="I79" s="25" t="n">
        <v>0.82</v>
      </c>
      <c r="J79" s="26" t="n">
        <f aca="false">IF(I79="tl", 0, 1)</f>
        <v>1</v>
      </c>
      <c r="K79" s="25" t="s">
        <v>53</v>
      </c>
      <c r="L79" s="26" t="n">
        <f aca="false">IF(K79="tl", 0, 1)</f>
        <v>0</v>
      </c>
      <c r="M79" s="25" t="n">
        <v>5.71</v>
      </c>
      <c r="N79" s="26" t="n">
        <f aca="false">IF(M79="tl", 0, 1)</f>
        <v>1</v>
      </c>
      <c r="P79" s="23" t="n">
        <v>2</v>
      </c>
      <c r="Q79" s="23"/>
      <c r="R79" s="2" t="n">
        <f aca="false">IF(S79=C79, 1, 0)</f>
        <v>1</v>
      </c>
      <c r="S79" s="27" t="s">
        <v>131</v>
      </c>
      <c r="T79" s="27" t="n">
        <v>80</v>
      </c>
      <c r="U79" s="27" t="n">
        <v>1786</v>
      </c>
      <c r="V79" s="3" t="s">
        <v>54</v>
      </c>
      <c r="W79" s="3" t="n">
        <v>69</v>
      </c>
      <c r="X79" s="3" t="n">
        <v>5.1039</v>
      </c>
      <c r="Y79" s="3" t="n">
        <v>1800</v>
      </c>
      <c r="Z79" s="3" t="n">
        <v>89.58</v>
      </c>
      <c r="AA79" s="3" t="n">
        <v>6957</v>
      </c>
      <c r="AB79" s="3" t="n">
        <v>4</v>
      </c>
      <c r="AC79" s="3" t="n">
        <v>7224</v>
      </c>
      <c r="AD79" s="3" t="n">
        <v>12583</v>
      </c>
      <c r="AE79" s="3" t="n">
        <v>11</v>
      </c>
      <c r="AF79" s="3" t="n">
        <v>0</v>
      </c>
      <c r="AG79" s="3" t="n">
        <v>2</v>
      </c>
      <c r="AH79" s="3" t="n">
        <v>4.10256</v>
      </c>
      <c r="AI79" s="3" t="n">
        <v>69</v>
      </c>
      <c r="AJ79" s="2" t="n">
        <f aca="false">IF(V79="Optimal", 1, 0)</f>
        <v>0</v>
      </c>
      <c r="AK79" s="29" t="b">
        <f aca="false">IF(AJ79=1, W79-G79)</f>
        <v>0</v>
      </c>
      <c r="AL79" s="4" t="n">
        <f aca="false">IF(AND(AH79&lt;&gt;-1, G79&lt;&gt;"-", G79&lt;&gt;"."), ((G79-AH79)/G79)*100, -1)</f>
        <v>72.6496</v>
      </c>
      <c r="AN79" s="5" t="n">
        <f aca="false">IF(AND(AO79=C79, A79=AP79), 1, 0)</f>
        <v>1</v>
      </c>
      <c r="AO79" s="5" t="s">
        <v>131</v>
      </c>
      <c r="AP79" s="5" t="n">
        <v>5</v>
      </c>
      <c r="AQ79" s="5" t="n">
        <v>3600</v>
      </c>
      <c r="AR79" s="5" t="n">
        <v>80</v>
      </c>
      <c r="AS79" s="5" t="n">
        <v>1786</v>
      </c>
      <c r="AT79" s="28" t="n">
        <v>217.462</v>
      </c>
      <c r="AU79" s="28" t="s">
        <v>51</v>
      </c>
      <c r="AV79" s="28" t="n">
        <v>65</v>
      </c>
      <c r="AW79" s="28" t="n">
        <v>65</v>
      </c>
      <c r="AX79" s="28" t="n">
        <v>15</v>
      </c>
      <c r="AY79" s="28" t="n">
        <v>390</v>
      </c>
      <c r="AZ79" s="28" t="n">
        <v>1897</v>
      </c>
      <c r="BA79" s="28" t="n">
        <v>690</v>
      </c>
      <c r="BB79" s="6" t="n">
        <f aca="false">IF(AU79="Optimal", 1, 0)</f>
        <v>1</v>
      </c>
    </row>
    <row r="80" customFormat="false" ht="12.8" hidden="false" customHeight="false" outlineLevel="0" collapsed="false">
      <c r="A80" s="1" t="n">
        <v>5</v>
      </c>
      <c r="B80" s="23" t="s">
        <v>67</v>
      </c>
      <c r="C80" s="24" t="s">
        <v>132</v>
      </c>
      <c r="D80" s="25" t="n">
        <v>80</v>
      </c>
      <c r="E80" s="25" t="n">
        <v>1848</v>
      </c>
      <c r="F80" s="25" t="n">
        <v>11</v>
      </c>
      <c r="G80" s="25" t="n">
        <v>4</v>
      </c>
      <c r="H80" s="3" t="n">
        <v>1</v>
      </c>
      <c r="I80" s="25" t="n">
        <v>0.05</v>
      </c>
      <c r="J80" s="26" t="n">
        <f aca="false">IF(I80="tl", 0, 1)</f>
        <v>1</v>
      </c>
      <c r="K80" s="25" t="n">
        <v>0.27</v>
      </c>
      <c r="L80" s="26" t="n">
        <f aca="false">IF(K80="tl", 0, 1)</f>
        <v>1</v>
      </c>
      <c r="M80" s="25" t="n">
        <v>0.06</v>
      </c>
      <c r="N80" s="26" t="n">
        <f aca="false">IF(M80="tl", 0, 1)</f>
        <v>1</v>
      </c>
      <c r="P80" s="23" t="n">
        <v>0</v>
      </c>
      <c r="Q80" s="23"/>
      <c r="R80" s="2" t="n">
        <f aca="false">IF(S80=C80, 1, 0)</f>
        <v>1</v>
      </c>
      <c r="S80" s="27" t="s">
        <v>132</v>
      </c>
      <c r="T80" s="27" t="n">
        <v>80</v>
      </c>
      <c r="U80" s="27" t="n">
        <v>1848</v>
      </c>
      <c r="V80" s="3" t="s">
        <v>54</v>
      </c>
      <c r="W80" s="3" t="n">
        <v>19</v>
      </c>
      <c r="X80" s="3" t="n">
        <v>4</v>
      </c>
      <c r="Y80" s="3" t="n">
        <v>1800.04</v>
      </c>
      <c r="Z80" s="3" t="n">
        <v>36.026</v>
      </c>
      <c r="AA80" s="3" t="n">
        <v>3235</v>
      </c>
      <c r="AB80" s="3" t="n">
        <v>4</v>
      </c>
      <c r="AC80" s="3" t="n">
        <v>7472</v>
      </c>
      <c r="AD80" s="3" t="n">
        <v>13017</v>
      </c>
      <c r="AE80" s="3" t="n">
        <v>12</v>
      </c>
      <c r="AF80" s="3" t="n">
        <v>0</v>
      </c>
      <c r="AG80" s="3" t="n">
        <v>2</v>
      </c>
      <c r="AH80" s="3" t="n">
        <v>3.84416</v>
      </c>
      <c r="AI80" s="3" t="n">
        <v>19</v>
      </c>
      <c r="AJ80" s="2" t="n">
        <f aca="false">IF(V80="Optimal", 1, 0)</f>
        <v>0</v>
      </c>
      <c r="AK80" s="29" t="b">
        <f aca="false">IF(AJ80=1, W80-G80)</f>
        <v>0</v>
      </c>
      <c r="AL80" s="4" t="n">
        <f aca="false">IF(AND(AH80&lt;&gt;-1, G80&lt;&gt;"-", G80&lt;&gt;"."), ((G80-AH80)/G80)*100, -1)</f>
        <v>3.896</v>
      </c>
      <c r="AN80" s="5" t="n">
        <f aca="false">IF(AND(AO80=C80, A80=AP80), 1, 0)</f>
        <v>1</v>
      </c>
      <c r="AO80" s="5" t="s">
        <v>132</v>
      </c>
      <c r="AP80" s="5" t="n">
        <v>5</v>
      </c>
      <c r="AQ80" s="5" t="n">
        <v>3600</v>
      </c>
      <c r="AR80" s="5" t="n">
        <v>80</v>
      </c>
      <c r="AS80" s="5" t="n">
        <v>1848</v>
      </c>
      <c r="AT80" s="28" t="n">
        <v>88.925</v>
      </c>
      <c r="AU80" s="28" t="s">
        <v>51</v>
      </c>
      <c r="AV80" s="28" t="n">
        <v>76</v>
      </c>
      <c r="AW80" s="28" t="n">
        <v>76</v>
      </c>
      <c r="AX80" s="28" t="n">
        <v>4</v>
      </c>
      <c r="AY80" s="28" t="n">
        <v>335</v>
      </c>
      <c r="AZ80" s="28" t="n">
        <v>7560</v>
      </c>
      <c r="BA80" s="28" t="n">
        <v>1</v>
      </c>
      <c r="BB80" s="6" t="n">
        <f aca="false">IF(AU80="Optimal", 1, 0)</f>
        <v>1</v>
      </c>
    </row>
    <row r="81" customFormat="false" ht="12.8" hidden="false" customHeight="false" outlineLevel="0" collapsed="false">
      <c r="A81" s="1" t="n">
        <v>5</v>
      </c>
      <c r="B81" s="23" t="s">
        <v>67</v>
      </c>
      <c r="C81" s="24" t="s">
        <v>133</v>
      </c>
      <c r="D81" s="25" t="n">
        <v>80</v>
      </c>
      <c r="E81" s="25" t="n">
        <v>1739</v>
      </c>
      <c r="F81" s="25" t="n">
        <v>13</v>
      </c>
      <c r="G81" s="25" t="n">
        <v>4</v>
      </c>
      <c r="H81" s="3" t="n">
        <v>1</v>
      </c>
      <c r="I81" s="25" t="n">
        <v>0.04</v>
      </c>
      <c r="J81" s="26" t="n">
        <f aca="false">IF(I81="tl", 0, 1)</f>
        <v>1</v>
      </c>
      <c r="K81" s="25" t="n">
        <v>0.23</v>
      </c>
      <c r="L81" s="26" t="n">
        <f aca="false">IF(K81="tl", 0, 1)</f>
        <v>1</v>
      </c>
      <c r="M81" s="25" t="n">
        <v>0.08</v>
      </c>
      <c r="N81" s="26" t="n">
        <f aca="false">IF(M81="tl", 0, 1)</f>
        <v>1</v>
      </c>
      <c r="P81" s="23" t="n">
        <v>0</v>
      </c>
      <c r="Q81" s="23"/>
      <c r="R81" s="2" t="n">
        <f aca="false">IF(S81=C81, 1, 0)</f>
        <v>1</v>
      </c>
      <c r="S81" s="27" t="s">
        <v>133</v>
      </c>
      <c r="T81" s="27" t="n">
        <v>80</v>
      </c>
      <c r="U81" s="27" t="n">
        <v>1739</v>
      </c>
      <c r="V81" s="3" t="s">
        <v>54</v>
      </c>
      <c r="W81" s="30" t="n">
        <v>6</v>
      </c>
      <c r="X81" s="3" t="n">
        <v>4</v>
      </c>
      <c r="Y81" s="3" t="n">
        <v>1800</v>
      </c>
      <c r="Z81" s="3" t="n">
        <v>37.3795</v>
      </c>
      <c r="AA81" s="3" t="n">
        <v>2784</v>
      </c>
      <c r="AB81" s="3" t="n">
        <v>5</v>
      </c>
      <c r="AC81" s="3" t="n">
        <v>7036</v>
      </c>
      <c r="AD81" s="3" t="n">
        <v>12254</v>
      </c>
      <c r="AE81" s="3" t="n">
        <v>24</v>
      </c>
      <c r="AF81" s="3" t="n">
        <v>0</v>
      </c>
      <c r="AG81" s="3" t="n">
        <v>3</v>
      </c>
      <c r="AH81" s="3" t="n">
        <v>3.74026</v>
      </c>
      <c r="AI81" s="30" t="n">
        <v>69</v>
      </c>
      <c r="AJ81" s="2" t="n">
        <f aca="false">IF(V81="Optimal", 1, 0)</f>
        <v>0</v>
      </c>
      <c r="AK81" s="29" t="b">
        <f aca="false">IF(AJ81=1, W81-G81)</f>
        <v>0</v>
      </c>
      <c r="AL81" s="4" t="n">
        <f aca="false">IF(AND(AH81&lt;&gt;-1, G81&lt;&gt;"-", G81&lt;&gt;"."), ((G81-AH81)/G81)*100, -1)</f>
        <v>6.4935</v>
      </c>
      <c r="AN81" s="5" t="n">
        <f aca="false">IF(AND(AO81=C81, A81=AP81), 1, 0)</f>
        <v>1</v>
      </c>
      <c r="AO81" s="5" t="s">
        <v>133</v>
      </c>
      <c r="AP81" s="5" t="n">
        <v>5</v>
      </c>
      <c r="AQ81" s="5" t="n">
        <v>3600</v>
      </c>
      <c r="AR81" s="5" t="n">
        <v>80</v>
      </c>
      <c r="AS81" s="5" t="n">
        <v>1739</v>
      </c>
      <c r="AT81" s="28" t="n">
        <v>62.5938</v>
      </c>
      <c r="AU81" s="28" t="s">
        <v>51</v>
      </c>
      <c r="AV81" s="28" t="n">
        <v>76</v>
      </c>
      <c r="AW81" s="28" t="n">
        <v>76</v>
      </c>
      <c r="AX81" s="28" t="n">
        <v>4</v>
      </c>
      <c r="AY81" s="28" t="n">
        <v>337</v>
      </c>
      <c r="AZ81" s="28" t="n">
        <v>7132</v>
      </c>
      <c r="BA81" s="28" t="n">
        <v>5</v>
      </c>
      <c r="BB81" s="6" t="n">
        <f aca="false">IF(AU81="Optimal", 1, 0)</f>
        <v>1</v>
      </c>
    </row>
    <row r="82" customFormat="false" ht="12.8" hidden="false" customHeight="false" outlineLevel="0" collapsed="false">
      <c r="A82" s="1" t="n">
        <v>5</v>
      </c>
      <c r="B82" s="23" t="s">
        <v>64</v>
      </c>
      <c r="C82" s="24" t="s">
        <v>134</v>
      </c>
      <c r="D82" s="25" t="n">
        <v>77</v>
      </c>
      <c r="E82" s="25" t="n">
        <v>254</v>
      </c>
      <c r="F82" s="25" t="n">
        <v>35</v>
      </c>
      <c r="G82" s="25" t="n">
        <v>1</v>
      </c>
      <c r="H82" s="3" t="n">
        <v>1</v>
      </c>
      <c r="I82" s="26" t="n">
        <v>0.14</v>
      </c>
      <c r="J82" s="26" t="n">
        <f aca="false">IF(I82="tl", 0, 1)</f>
        <v>1</v>
      </c>
      <c r="K82" s="26" t="n">
        <v>2.41</v>
      </c>
      <c r="L82" s="26" t="n">
        <f aca="false">IF(K82="tl", 0, 1)</f>
        <v>1</v>
      </c>
      <c r="M82" s="26" t="n">
        <v>0</v>
      </c>
      <c r="N82" s="26" t="n">
        <f aca="false">IF(M82="tl", 0, 1)</f>
        <v>1</v>
      </c>
      <c r="P82" s="23" t="n">
        <v>0</v>
      </c>
      <c r="Q82" s="23"/>
      <c r="R82" s="2" t="n">
        <f aca="false">IF(S82=C82, 1, 0)</f>
        <v>1</v>
      </c>
      <c r="S82" s="27" t="s">
        <v>134</v>
      </c>
      <c r="T82" s="27" t="n">
        <v>77</v>
      </c>
      <c r="U82" s="27" t="n">
        <v>254</v>
      </c>
      <c r="V82" s="3" t="s">
        <v>51</v>
      </c>
      <c r="W82" s="30" t="n">
        <v>1</v>
      </c>
      <c r="X82" s="3" t="n">
        <v>1</v>
      </c>
      <c r="Y82" s="3" t="n">
        <v>0.84692</v>
      </c>
      <c r="Z82" s="3" t="n">
        <v>0.371256</v>
      </c>
      <c r="AA82" s="3" t="n">
        <v>407</v>
      </c>
      <c r="AB82" s="3" t="n">
        <v>1</v>
      </c>
      <c r="AC82" s="3" t="n">
        <v>1093</v>
      </c>
      <c r="AD82" s="3" t="n">
        <v>1856</v>
      </c>
      <c r="AE82" s="3" t="n">
        <v>76</v>
      </c>
      <c r="AF82" s="3" t="n">
        <v>0</v>
      </c>
      <c r="AG82" s="3" t="n">
        <v>0</v>
      </c>
      <c r="AH82" s="3" t="n">
        <v>-1</v>
      </c>
      <c r="AI82" s="3" t="n">
        <v>-1</v>
      </c>
      <c r="AJ82" s="2" t="n">
        <f aca="false">IF(V82="Optimal", 1, 0)</f>
        <v>1</v>
      </c>
      <c r="AK82" s="3" t="n">
        <f aca="false">IF(AJ82=1, W82-G82)</f>
        <v>0</v>
      </c>
      <c r="AL82" s="4" t="n">
        <f aca="false">IF(AND(AH82&lt;&gt;-1, G82&lt;&gt;"-", G82&lt;&gt;"."), ((G82-AH82)/G82)*100, -1)</f>
        <v>-1</v>
      </c>
      <c r="AN82" s="5" t="n">
        <f aca="false">IF(AND(AO82=C82, A82=AP82), 1, 0)</f>
        <v>1</v>
      </c>
      <c r="AO82" s="5" t="s">
        <v>134</v>
      </c>
      <c r="AP82" s="5" t="n">
        <v>5</v>
      </c>
      <c r="AQ82" s="5" t="n">
        <v>3600</v>
      </c>
      <c r="AR82" s="5" t="n">
        <v>77</v>
      </c>
      <c r="AS82" s="5" t="n">
        <v>254</v>
      </c>
      <c r="AT82" s="28" t="n">
        <v>13.0705</v>
      </c>
      <c r="AU82" s="28" t="s">
        <v>51</v>
      </c>
      <c r="AV82" s="28" t="n">
        <v>76</v>
      </c>
      <c r="AW82" s="28" t="n">
        <v>76</v>
      </c>
      <c r="AX82" s="28" t="n">
        <v>1</v>
      </c>
      <c r="AY82" s="28" t="n">
        <v>385</v>
      </c>
      <c r="AZ82" s="28" t="n">
        <v>1374</v>
      </c>
      <c r="BA82" s="28" t="n">
        <v>2</v>
      </c>
      <c r="BB82" s="6" t="n">
        <f aca="false">IF(AU82="Optimal", 1, 0)</f>
        <v>1</v>
      </c>
    </row>
    <row r="83" customFormat="false" ht="12.8" hidden="false" customHeight="false" outlineLevel="0" collapsed="false">
      <c r="A83" s="1" t="n">
        <v>5</v>
      </c>
      <c r="B83" s="23" t="s">
        <v>67</v>
      </c>
      <c r="C83" s="24" t="s">
        <v>135</v>
      </c>
      <c r="D83" s="25" t="n">
        <v>147</v>
      </c>
      <c r="E83" s="25" t="n">
        <v>2837</v>
      </c>
      <c r="F83" s="25" t="n">
        <v>10</v>
      </c>
      <c r="G83" s="25" t="s">
        <v>77</v>
      </c>
      <c r="H83" s="3" t="n">
        <v>0</v>
      </c>
      <c r="I83" s="25" t="s">
        <v>53</v>
      </c>
      <c r="J83" s="26" t="n">
        <f aca="false">IF(I83="tl", 0, 1)</f>
        <v>0</v>
      </c>
      <c r="K83" s="25" t="s">
        <v>53</v>
      </c>
      <c r="L83" s="26" t="n">
        <f aca="false">IF(K83="tl", 0, 1)</f>
        <v>0</v>
      </c>
      <c r="M83" s="25" t="s">
        <v>53</v>
      </c>
      <c r="N83" s="26" t="n">
        <f aca="false">IF(M83="tl", 0, 1)</f>
        <v>0</v>
      </c>
      <c r="P83" s="23" t="n">
        <v>0</v>
      </c>
      <c r="Q83" s="23"/>
      <c r="R83" s="2" t="n">
        <f aca="false">IF(S83=C83, 1, 0)</f>
        <v>1</v>
      </c>
      <c r="S83" s="27" t="s">
        <v>135</v>
      </c>
      <c r="T83" s="27" t="n">
        <v>147</v>
      </c>
      <c r="U83" s="27" t="n">
        <v>2837</v>
      </c>
      <c r="V83" s="3" t="s">
        <v>54</v>
      </c>
      <c r="W83" s="30" t="n">
        <v>136</v>
      </c>
      <c r="X83" s="3" t="n">
        <v>4.05517</v>
      </c>
      <c r="Y83" s="3" t="n">
        <v>1800</v>
      </c>
      <c r="Z83" s="3" t="n">
        <v>105.75</v>
      </c>
      <c r="AA83" s="3" t="n">
        <v>5706</v>
      </c>
      <c r="AB83" s="3" t="n">
        <v>3</v>
      </c>
      <c r="AC83" s="3" t="n">
        <v>11495</v>
      </c>
      <c r="AD83" s="3" t="n">
        <v>20007</v>
      </c>
      <c r="AE83" s="3" t="n">
        <v>9</v>
      </c>
      <c r="AF83" s="3" t="n">
        <v>0</v>
      </c>
      <c r="AG83" s="3" t="n">
        <v>1</v>
      </c>
      <c r="AH83" s="3" t="n">
        <v>4.05517</v>
      </c>
      <c r="AI83" s="30" t="n">
        <v>136</v>
      </c>
      <c r="AJ83" s="2" t="n">
        <f aca="false">IF(V83="Optimal", 1, 0)</f>
        <v>0</v>
      </c>
      <c r="AK83" s="29" t="b">
        <f aca="false">IF(AJ83=1, W83-G83)</f>
        <v>0</v>
      </c>
      <c r="AL83" s="4" t="n">
        <f aca="false">IF(AND(AH83&lt;&gt;-1, G83&lt;&gt;"-", G83&lt;&gt;"."), ((G83-AH83)/G83)*100, -1)</f>
        <v>-1</v>
      </c>
      <c r="AN83" s="5" t="n">
        <f aca="false">IF(AND(AO83=C83, A83=AP83), 1, 0)</f>
        <v>1</v>
      </c>
      <c r="AO83" s="5" t="s">
        <v>135</v>
      </c>
      <c r="AP83" s="5" t="n">
        <v>5</v>
      </c>
      <c r="AQ83" s="5" t="n">
        <v>3600</v>
      </c>
      <c r="AR83" s="5" t="n">
        <v>147</v>
      </c>
      <c r="AS83" s="5" t="n">
        <v>2837</v>
      </c>
      <c r="AT83" s="28" t="n">
        <v>3600</v>
      </c>
      <c r="AU83" s="28" t="s">
        <v>54</v>
      </c>
      <c r="AV83" s="28" t="n">
        <v>139.628</v>
      </c>
      <c r="AW83" s="28" t="n">
        <v>86</v>
      </c>
      <c r="AX83" s="28" t="n">
        <v>61</v>
      </c>
      <c r="AY83" s="28" t="n">
        <v>696</v>
      </c>
      <c r="AZ83" s="28" t="n">
        <v>14827</v>
      </c>
      <c r="BA83" s="28" t="n">
        <v>1093</v>
      </c>
      <c r="BB83" s="6" t="n">
        <f aca="false">IF(AU83="Optimal", 1, 0)</f>
        <v>0</v>
      </c>
    </row>
    <row r="84" customFormat="false" ht="12.8" hidden="false" customHeight="false" outlineLevel="0" collapsed="false">
      <c r="A84" s="1" t="n">
        <v>5</v>
      </c>
      <c r="B84" s="23" t="s">
        <v>49</v>
      </c>
      <c r="C84" s="24" t="s">
        <v>136</v>
      </c>
      <c r="D84" s="25" t="n">
        <v>128</v>
      </c>
      <c r="E84" s="25" t="n">
        <v>3216</v>
      </c>
      <c r="F84" s="25" t="n">
        <v>8</v>
      </c>
      <c r="G84" s="25" t="n">
        <v>53</v>
      </c>
      <c r="H84" s="3" t="n">
        <v>1</v>
      </c>
      <c r="I84" s="26" t="n">
        <v>1307.71</v>
      </c>
      <c r="J84" s="26" t="n">
        <f aca="false">IF(I84="tl", 0, 1)</f>
        <v>1</v>
      </c>
      <c r="K84" s="26" t="s">
        <v>53</v>
      </c>
      <c r="L84" s="26" t="n">
        <f aca="false">IF(K84="tl", 0, 1)</f>
        <v>0</v>
      </c>
      <c r="M84" s="26" t="s">
        <v>53</v>
      </c>
      <c r="N84" s="26" t="n">
        <f aca="false">IF(M84="tl", 0, 1)</f>
        <v>0</v>
      </c>
      <c r="P84" s="23" t="n">
        <v>0</v>
      </c>
      <c r="Q84" s="23"/>
      <c r="R84" s="2" t="n">
        <f aca="false">IF(S84=C84, 1, 0)</f>
        <v>1</v>
      </c>
      <c r="S84" s="27" t="s">
        <v>136</v>
      </c>
      <c r="T84" s="27" t="n">
        <v>128</v>
      </c>
      <c r="U84" s="27" t="n">
        <v>3216</v>
      </c>
      <c r="V84" s="3" t="s">
        <v>54</v>
      </c>
      <c r="W84" s="30" t="n">
        <v>119</v>
      </c>
      <c r="X84" s="3" t="n">
        <v>4.06349</v>
      </c>
      <c r="Y84" s="3" t="n">
        <v>1800.06</v>
      </c>
      <c r="Z84" s="3" t="n">
        <v>56.4423</v>
      </c>
      <c r="AA84" s="3" t="n">
        <v>4390</v>
      </c>
      <c r="AB84" s="3" t="n">
        <v>3</v>
      </c>
      <c r="AC84" s="3" t="n">
        <v>12992</v>
      </c>
      <c r="AD84" s="3" t="n">
        <v>22641</v>
      </c>
      <c r="AE84" s="3" t="n">
        <v>15</v>
      </c>
      <c r="AF84" s="3" t="n">
        <v>0</v>
      </c>
      <c r="AG84" s="3" t="n">
        <v>1</v>
      </c>
      <c r="AH84" s="3" t="n">
        <v>4.06349</v>
      </c>
      <c r="AI84" s="30" t="n">
        <v>119</v>
      </c>
      <c r="AJ84" s="2" t="n">
        <f aca="false">IF(V84="Optimal", 1, 0)</f>
        <v>0</v>
      </c>
      <c r="AK84" s="29" t="b">
        <f aca="false">IF(AJ84=1, W84-G84)</f>
        <v>0</v>
      </c>
      <c r="AL84" s="4" t="n">
        <f aca="false">IF(AND(AH84&lt;&gt;-1, G84&lt;&gt;"-", G84&lt;&gt;"."), ((G84-AH84)/G84)*100, -1)</f>
        <v>92.3330377358491</v>
      </c>
      <c r="AN84" s="5" t="n">
        <f aca="false">IF(AND(AO84=C84, A84=AP84), 1, 0)</f>
        <v>1</v>
      </c>
      <c r="AO84" s="5" t="s">
        <v>136</v>
      </c>
      <c r="AP84" s="5" t="n">
        <v>5</v>
      </c>
      <c r="AQ84" s="5" t="n">
        <v>3600</v>
      </c>
      <c r="AR84" s="5" t="n">
        <v>128</v>
      </c>
      <c r="AS84" s="5" t="n">
        <v>3216</v>
      </c>
      <c r="AT84" s="28" t="n">
        <v>3600</v>
      </c>
      <c r="AU84" s="28" t="s">
        <v>54</v>
      </c>
      <c r="AV84" s="28" t="n">
        <v>120.946</v>
      </c>
      <c r="AW84" s="28" t="n">
        <v>75</v>
      </c>
      <c r="AX84" s="28" t="n">
        <v>53</v>
      </c>
      <c r="AY84" s="28" t="n">
        <v>617</v>
      </c>
      <c r="AZ84" s="28" t="n">
        <v>18233</v>
      </c>
      <c r="BA84" s="28" t="n">
        <v>9150</v>
      </c>
      <c r="BB84" s="6" t="n">
        <f aca="false">IF(AU84="Optimal", 1, 0)</f>
        <v>0</v>
      </c>
    </row>
    <row r="85" customFormat="false" ht="12.8" hidden="false" customHeight="false" outlineLevel="0" collapsed="false">
      <c r="A85" s="1" t="n">
        <v>5</v>
      </c>
      <c r="B85" s="23" t="s">
        <v>49</v>
      </c>
      <c r="C85" s="24" t="s">
        <v>137</v>
      </c>
      <c r="D85" s="25" t="n">
        <v>128</v>
      </c>
      <c r="E85" s="25" t="n">
        <v>5198</v>
      </c>
      <c r="F85" s="25" t="n">
        <v>5</v>
      </c>
      <c r="G85" s="25" t="n">
        <v>115</v>
      </c>
      <c r="H85" s="3" t="n">
        <v>1</v>
      </c>
      <c r="I85" s="26" t="n">
        <v>0.12</v>
      </c>
      <c r="J85" s="26" t="n">
        <f aca="false">IF(I85="tl", 0, 1)</f>
        <v>1</v>
      </c>
      <c r="K85" s="26" t="n">
        <v>0.06</v>
      </c>
      <c r="L85" s="26" t="n">
        <f aca="false">IF(K85="tl", 0, 1)</f>
        <v>1</v>
      </c>
      <c r="M85" s="26" t="n">
        <v>0.01</v>
      </c>
      <c r="N85" s="26" t="n">
        <f aca="false">IF(M85="tl", 0, 1)</f>
        <v>1</v>
      </c>
      <c r="P85" s="23" t="n">
        <v>108</v>
      </c>
      <c r="Q85" s="23"/>
      <c r="R85" s="2" t="n">
        <f aca="false">IF(S85=C85, 1, 0)</f>
        <v>1</v>
      </c>
      <c r="S85" s="27" t="s">
        <v>137</v>
      </c>
      <c r="T85" s="27" t="n">
        <v>128</v>
      </c>
      <c r="U85" s="27" t="n">
        <v>5198</v>
      </c>
      <c r="V85" s="3" t="s">
        <v>54</v>
      </c>
      <c r="W85" s="30" t="n">
        <v>1E+020</v>
      </c>
      <c r="X85" s="3" t="n">
        <v>4.06349</v>
      </c>
      <c r="Y85" s="3" t="n">
        <v>1800.09</v>
      </c>
      <c r="Z85" s="3" t="n">
        <v>286.964</v>
      </c>
      <c r="AA85" s="3" t="n">
        <v>6093</v>
      </c>
      <c r="AB85" s="3" t="n">
        <v>7</v>
      </c>
      <c r="AC85" s="3" t="n">
        <v>20920</v>
      </c>
      <c r="AD85" s="3" t="n">
        <v>36515</v>
      </c>
      <c r="AE85" s="3" t="n">
        <v>10</v>
      </c>
      <c r="AF85" s="3" t="n">
        <v>0</v>
      </c>
      <c r="AG85" s="3" t="n">
        <v>5</v>
      </c>
      <c r="AH85" s="3" t="n">
        <v>4.06349</v>
      </c>
      <c r="AI85" s="30" t="n">
        <v>1E+020</v>
      </c>
      <c r="AJ85" s="2" t="n">
        <f aca="false">IF(V85="Optimal", 1, 0)</f>
        <v>0</v>
      </c>
      <c r="AK85" s="29" t="b">
        <f aca="false">IF(AJ85=1, W85-G85)</f>
        <v>0</v>
      </c>
      <c r="AL85" s="4" t="n">
        <f aca="false">IF(AND(AH85&lt;&gt;-1, G85&lt;&gt;"-", G85&lt;&gt;"."), ((G85-AH85)/G85)*100, -1)</f>
        <v>96.4665304347826</v>
      </c>
      <c r="AN85" s="5" t="n">
        <f aca="false">IF(AND(AO85=C85, A85=AP85), 1, 0)</f>
        <v>1</v>
      </c>
      <c r="AO85" s="5" t="s">
        <v>137</v>
      </c>
      <c r="AP85" s="5" t="n">
        <v>5</v>
      </c>
      <c r="AQ85" s="5" t="n">
        <v>3600</v>
      </c>
      <c r="AR85" s="5" t="n">
        <v>128</v>
      </c>
      <c r="AS85" s="5" t="n">
        <v>5198</v>
      </c>
      <c r="AT85" s="28" t="n">
        <v>3600</v>
      </c>
      <c r="AU85" s="28" t="s">
        <v>54</v>
      </c>
      <c r="AV85" s="28" t="n">
        <v>105.529</v>
      </c>
      <c r="AW85" s="28" t="n">
        <v>13</v>
      </c>
      <c r="AX85" s="28" t="n">
        <v>115</v>
      </c>
      <c r="AY85" s="28" t="n">
        <v>605</v>
      </c>
      <c r="AZ85" s="28" t="n">
        <v>31431</v>
      </c>
      <c r="BA85" s="28" t="n">
        <v>6869</v>
      </c>
      <c r="BB85" s="6" t="n">
        <f aca="false">IF(AU85="Optimal", 1, 0)</f>
        <v>0</v>
      </c>
    </row>
    <row r="86" customFormat="false" ht="12.8" hidden="false" customHeight="false" outlineLevel="0" collapsed="false">
      <c r="A86" s="1" t="n">
        <v>5</v>
      </c>
      <c r="B86" s="23" t="s">
        <v>49</v>
      </c>
      <c r="C86" s="24" t="s">
        <v>138</v>
      </c>
      <c r="D86" s="25" t="n">
        <v>128</v>
      </c>
      <c r="E86" s="25" t="n">
        <v>387</v>
      </c>
      <c r="F86" s="25" t="n">
        <v>44</v>
      </c>
      <c r="G86" s="25" t="s">
        <v>86</v>
      </c>
      <c r="H86" s="3" t="n">
        <v>1</v>
      </c>
      <c r="I86" s="25" t="s">
        <v>86</v>
      </c>
      <c r="J86" s="26" t="n">
        <f aca="false">IF(I86="tl", 0, 1)</f>
        <v>1</v>
      </c>
      <c r="K86" s="25" t="s">
        <v>86</v>
      </c>
      <c r="L86" s="26" t="n">
        <f aca="false">IF(K86="tl", 0, 1)</f>
        <v>1</v>
      </c>
      <c r="M86" s="25" t="s">
        <v>86</v>
      </c>
      <c r="N86" s="26" t="n">
        <f aca="false">IF(M86="tl", 0, 1)</f>
        <v>1</v>
      </c>
      <c r="P86" s="23" t="n">
        <v>0</v>
      </c>
      <c r="Q86" s="23"/>
      <c r="R86" s="2" t="n">
        <f aca="false">IF(S86=C86, 1, 0)</f>
        <v>1</v>
      </c>
      <c r="S86" s="27" t="s">
        <v>138</v>
      </c>
      <c r="T86" s="1" t="n">
        <v>128</v>
      </c>
      <c r="U86" s="1" t="n">
        <v>387</v>
      </c>
      <c r="V86" s="3" t="s">
        <v>51</v>
      </c>
      <c r="W86" s="3" t="n">
        <v>0</v>
      </c>
      <c r="X86" s="3" t="n">
        <v>0</v>
      </c>
      <c r="Y86" s="3" t="n">
        <v>0.569048</v>
      </c>
      <c r="Z86" s="3" t="n">
        <v>0.128713</v>
      </c>
      <c r="AA86" s="3" t="n">
        <v>516</v>
      </c>
      <c r="AB86" s="3" t="n">
        <v>1</v>
      </c>
      <c r="AC86" s="3" t="n">
        <v>1676</v>
      </c>
      <c r="AD86" s="3" t="n">
        <v>2838</v>
      </c>
      <c r="AE86" s="3" t="n">
        <v>1</v>
      </c>
      <c r="AF86" s="3" t="n">
        <v>0</v>
      </c>
      <c r="AG86" s="3" t="n">
        <v>0</v>
      </c>
      <c r="AH86" s="3" t="n">
        <v>-1</v>
      </c>
      <c r="AI86" s="3" t="n">
        <v>-1</v>
      </c>
      <c r="AJ86" s="2" t="n">
        <f aca="false">IF(V86="Optimal", 1, 0)</f>
        <v>1</v>
      </c>
      <c r="AK86" s="3" t="e">
        <f aca="false">IF(AJ86=1, W86-G86)</f>
        <v>#VALUE!</v>
      </c>
      <c r="AL86" s="4" t="n">
        <f aca="false">IF(AND(AH86&lt;&gt;-1, G86&lt;&gt;"-", G86&lt;&gt;"."), ((G86-AH86)/G86)*100, -1)</f>
        <v>-1</v>
      </c>
      <c r="AN86" s="5" t="n">
        <f aca="false">IF(AND(AO86=C86, A86=AP86), 1, 0)</f>
        <v>1</v>
      </c>
      <c r="AO86" s="5" t="s">
        <v>138</v>
      </c>
      <c r="AP86" s="5" t="n">
        <v>5</v>
      </c>
      <c r="AQ86" s="5" t="n">
        <v>3600</v>
      </c>
      <c r="AR86" s="5" t="n">
        <v>128</v>
      </c>
      <c r="AS86" s="5" t="n">
        <v>387</v>
      </c>
      <c r="AT86" s="28" t="n">
        <v>1.29219</v>
      </c>
      <c r="AU86" s="28" t="s">
        <v>51</v>
      </c>
      <c r="AV86" s="28" t="n">
        <v>128</v>
      </c>
      <c r="AW86" s="28" t="n">
        <v>128</v>
      </c>
      <c r="AX86" s="28" t="n">
        <v>0</v>
      </c>
      <c r="AY86" s="28" t="n">
        <v>630</v>
      </c>
      <c r="AZ86" s="28" t="n">
        <v>2057</v>
      </c>
      <c r="BA86" s="28" t="n">
        <v>1</v>
      </c>
      <c r="BB86" s="6" t="n">
        <f aca="false">IF(AU86="Optimal", 1, 0)</f>
        <v>1</v>
      </c>
    </row>
    <row r="87" customFormat="false" ht="12.8" hidden="false" customHeight="false" outlineLevel="0" collapsed="false">
      <c r="A87" s="1" t="n">
        <v>5</v>
      </c>
      <c r="B87" s="23" t="s">
        <v>49</v>
      </c>
      <c r="C87" s="24" t="s">
        <v>139</v>
      </c>
      <c r="D87" s="25" t="n">
        <v>128</v>
      </c>
      <c r="E87" s="25" t="n">
        <v>1170</v>
      </c>
      <c r="F87" s="25" t="n">
        <v>18</v>
      </c>
      <c r="G87" s="25" t="n">
        <v>7</v>
      </c>
      <c r="H87" s="3" t="n">
        <v>1</v>
      </c>
      <c r="I87" s="26" t="n">
        <v>116</v>
      </c>
      <c r="J87" s="26" t="n">
        <f aca="false">IF(I87="tl", 0, 1)</f>
        <v>1</v>
      </c>
      <c r="K87" s="26" t="n">
        <v>31.14</v>
      </c>
      <c r="L87" s="26" t="n">
        <f aca="false">IF(K87="tl", 0, 1)</f>
        <v>1</v>
      </c>
      <c r="M87" s="26" t="n">
        <v>11.88</v>
      </c>
      <c r="N87" s="26" t="n">
        <f aca="false">IF(M87="tl", 0, 1)</f>
        <v>1</v>
      </c>
      <c r="P87" s="23" t="n">
        <v>0</v>
      </c>
      <c r="Q87" s="23"/>
      <c r="R87" s="2" t="n">
        <f aca="false">IF(S87=C87, 1, 0)</f>
        <v>1</v>
      </c>
      <c r="S87" s="27" t="s">
        <v>139</v>
      </c>
      <c r="T87" s="1" t="n">
        <v>128</v>
      </c>
      <c r="U87" s="1" t="n">
        <v>1170</v>
      </c>
      <c r="V87" s="3" t="s">
        <v>54</v>
      </c>
      <c r="W87" s="3" t="n">
        <v>85</v>
      </c>
      <c r="X87" s="3" t="n">
        <v>4.36364</v>
      </c>
      <c r="Y87" s="3" t="n">
        <v>1800</v>
      </c>
      <c r="Z87" s="3" t="n">
        <v>635.53</v>
      </c>
      <c r="AA87" s="3" t="n">
        <v>7499</v>
      </c>
      <c r="AB87" s="3" t="n">
        <v>4</v>
      </c>
      <c r="AC87" s="3" t="n">
        <v>4808</v>
      </c>
      <c r="AD87" s="3" t="n">
        <v>8319</v>
      </c>
      <c r="AE87" s="3" t="n">
        <v>26</v>
      </c>
      <c r="AF87" s="3" t="n">
        <v>0</v>
      </c>
      <c r="AG87" s="3" t="n">
        <v>2</v>
      </c>
      <c r="AH87" s="3" t="n">
        <v>4.06349</v>
      </c>
      <c r="AI87" s="3" t="n">
        <v>85</v>
      </c>
      <c r="AJ87" s="2" t="n">
        <f aca="false">IF(V87="Optimal", 1, 0)</f>
        <v>0</v>
      </c>
      <c r="AK87" s="29" t="b">
        <f aca="false">IF(AJ87=1, W87-G87)</f>
        <v>0</v>
      </c>
      <c r="AL87" s="4" t="n">
        <f aca="false">IF(AND(AH87&lt;&gt;-1, G87&lt;&gt;"-", G87&lt;&gt;"."), ((G87-AH87)/G87)*100, -1)</f>
        <v>41.9501428571429</v>
      </c>
      <c r="AN87" s="5" t="n">
        <f aca="false">IF(AND(AO87=C87, A87=AP87), 1, 0)</f>
        <v>1</v>
      </c>
      <c r="AO87" s="5" t="s">
        <v>139</v>
      </c>
      <c r="AP87" s="5" t="n">
        <v>5</v>
      </c>
      <c r="AQ87" s="5" t="n">
        <v>3600</v>
      </c>
      <c r="AR87" s="5" t="n">
        <v>128</v>
      </c>
      <c r="AS87" s="5" t="n">
        <v>1170</v>
      </c>
      <c r="AT87" s="28" t="n">
        <v>995.163</v>
      </c>
      <c r="AU87" s="28" t="s">
        <v>51</v>
      </c>
      <c r="AV87" s="28" t="n">
        <v>121</v>
      </c>
      <c r="AW87" s="28" t="n">
        <v>121</v>
      </c>
      <c r="AX87" s="28" t="n">
        <v>7</v>
      </c>
      <c r="AY87" s="28" t="n">
        <v>629</v>
      </c>
      <c r="AZ87" s="28" t="n">
        <v>2725</v>
      </c>
      <c r="BA87" s="28" t="n">
        <v>4036</v>
      </c>
      <c r="BB87" s="6" t="n">
        <f aca="false">IF(AU87="Optimal", 1, 0)</f>
        <v>1</v>
      </c>
    </row>
    <row r="88" customFormat="false" ht="12.8" hidden="false" customHeight="false" outlineLevel="0" collapsed="false">
      <c r="A88" s="1" t="n">
        <v>5</v>
      </c>
      <c r="B88" s="23" t="s">
        <v>49</v>
      </c>
      <c r="C88" s="24" t="s">
        <v>140</v>
      </c>
      <c r="D88" s="25" t="n">
        <v>128</v>
      </c>
      <c r="E88" s="25" t="n">
        <v>2113</v>
      </c>
      <c r="F88" s="25" t="n">
        <v>12</v>
      </c>
      <c r="G88" s="25" t="n">
        <v>20</v>
      </c>
      <c r="H88" s="3" t="n">
        <v>1</v>
      </c>
      <c r="I88" s="26" t="n">
        <v>359.62</v>
      </c>
      <c r="J88" s="26" t="n">
        <f aca="false">IF(I88="tl", 0, 1)</f>
        <v>1</v>
      </c>
      <c r="K88" s="26" t="s">
        <v>53</v>
      </c>
      <c r="L88" s="26" t="n">
        <f aca="false">IF(K88="tl", 0, 1)</f>
        <v>0</v>
      </c>
      <c r="M88" s="26" t="s">
        <v>53</v>
      </c>
      <c r="N88" s="26" t="n">
        <f aca="false">IF(M88="tl", 0, 1)</f>
        <v>0</v>
      </c>
      <c r="P88" s="23" t="n">
        <v>0</v>
      </c>
      <c r="Q88" s="23"/>
      <c r="R88" s="2" t="n">
        <f aca="false">IF(S88=C88, 1, 0)</f>
        <v>1</v>
      </c>
      <c r="S88" s="27" t="s">
        <v>140</v>
      </c>
      <c r="T88" s="1" t="n">
        <v>128</v>
      </c>
      <c r="U88" s="1" t="n">
        <v>2113</v>
      </c>
      <c r="V88" s="3" t="s">
        <v>54</v>
      </c>
      <c r="W88" s="3" t="n">
        <v>113</v>
      </c>
      <c r="X88" s="3" t="n">
        <v>4.06349</v>
      </c>
      <c r="Y88" s="3" t="n">
        <v>1800</v>
      </c>
      <c r="Z88" s="3" t="n">
        <v>56.7685</v>
      </c>
      <c r="AA88" s="3" t="n">
        <v>3902</v>
      </c>
      <c r="AB88" s="3" t="n">
        <v>3</v>
      </c>
      <c r="AC88" s="3" t="n">
        <v>8580</v>
      </c>
      <c r="AD88" s="3" t="n">
        <v>14920</v>
      </c>
      <c r="AE88" s="3" t="n">
        <v>16</v>
      </c>
      <c r="AF88" s="3" t="n">
        <v>0</v>
      </c>
      <c r="AG88" s="3" t="n">
        <v>1</v>
      </c>
      <c r="AH88" s="3" t="n">
        <v>4.06349</v>
      </c>
      <c r="AI88" s="3" t="n">
        <v>113</v>
      </c>
      <c r="AJ88" s="2" t="n">
        <f aca="false">IF(V88="Optimal", 1, 0)</f>
        <v>0</v>
      </c>
      <c r="AK88" s="29" t="b">
        <f aca="false">IF(AJ88=1, W88-G88)</f>
        <v>0</v>
      </c>
      <c r="AL88" s="4" t="n">
        <f aca="false">IF(AND(AH88&lt;&gt;-1, G88&lt;&gt;"-", G88&lt;&gt;"."), ((G88-AH88)/G88)*100, -1)</f>
        <v>79.68255</v>
      </c>
      <c r="AN88" s="5" t="n">
        <f aca="false">IF(AND(AO88=C88, A88=AP88), 1, 0)</f>
        <v>1</v>
      </c>
      <c r="AO88" s="5" t="s">
        <v>140</v>
      </c>
      <c r="AP88" s="5" t="n">
        <v>5</v>
      </c>
      <c r="AQ88" s="5" t="n">
        <v>3600</v>
      </c>
      <c r="AR88" s="5" t="n">
        <v>128</v>
      </c>
      <c r="AS88" s="5" t="n">
        <v>2113</v>
      </c>
      <c r="AT88" s="28" t="n">
        <v>3600</v>
      </c>
      <c r="AU88" s="28" t="s">
        <v>54</v>
      </c>
      <c r="AV88" s="28" t="n">
        <v>118.961</v>
      </c>
      <c r="AW88" s="28" t="n">
        <v>108</v>
      </c>
      <c r="AX88" s="28" t="n">
        <v>20</v>
      </c>
      <c r="AY88" s="28" t="n">
        <v>621</v>
      </c>
      <c r="AZ88" s="28" t="n">
        <v>11379</v>
      </c>
      <c r="BA88" s="28" t="n">
        <v>17114</v>
      </c>
      <c r="BB88" s="6" t="n">
        <f aca="false">IF(AU88="Optimal", 1, 0)</f>
        <v>0</v>
      </c>
    </row>
    <row r="89" customFormat="false" ht="12.8" hidden="false" customHeight="false" outlineLevel="0" collapsed="false">
      <c r="A89" s="1" t="n">
        <v>5</v>
      </c>
      <c r="B89" s="23" t="s">
        <v>49</v>
      </c>
      <c r="C89" s="24" t="s">
        <v>141</v>
      </c>
      <c r="D89" s="25" t="n">
        <v>100</v>
      </c>
      <c r="E89" s="25" t="n">
        <v>166</v>
      </c>
      <c r="F89" s="25" t="n">
        <v>33</v>
      </c>
      <c r="G89" s="25" t="n">
        <v>5</v>
      </c>
      <c r="H89" s="3" t="n">
        <v>1</v>
      </c>
      <c r="I89" s="26" t="n">
        <v>269.56</v>
      </c>
      <c r="J89" s="26" t="n">
        <f aca="false">IF(I89="tl", 0, 1)</f>
        <v>1</v>
      </c>
      <c r="K89" s="26" t="n">
        <v>22.89</v>
      </c>
      <c r="L89" s="26" t="n">
        <f aca="false">IF(K89="tl", 0, 1)</f>
        <v>1</v>
      </c>
      <c r="M89" s="26" t="n">
        <v>1.22</v>
      </c>
      <c r="N89" s="26" t="n">
        <f aca="false">IF(M89="tl", 0, 1)</f>
        <v>1</v>
      </c>
      <c r="P89" s="23" t="n">
        <v>0</v>
      </c>
      <c r="Q89" s="23"/>
      <c r="R89" s="2" t="n">
        <f aca="false">IF(S89=C89, 1, 0)</f>
        <v>1</v>
      </c>
      <c r="S89" s="27" t="s">
        <v>141</v>
      </c>
      <c r="T89" s="1" t="n">
        <v>100</v>
      </c>
      <c r="U89" s="1" t="n">
        <v>166</v>
      </c>
      <c r="V89" s="3" t="s">
        <v>51</v>
      </c>
      <c r="W89" s="3" t="n">
        <v>5</v>
      </c>
      <c r="X89" s="3" t="n">
        <v>5</v>
      </c>
      <c r="Y89" s="3" t="n">
        <v>6.35639</v>
      </c>
      <c r="Z89" s="3" t="n">
        <v>4.50567</v>
      </c>
      <c r="AA89" s="3" t="n">
        <v>414</v>
      </c>
      <c r="AB89" s="3" t="n">
        <v>5</v>
      </c>
      <c r="AC89" s="3" t="n">
        <v>764</v>
      </c>
      <c r="AD89" s="3" t="n">
        <v>1263</v>
      </c>
      <c r="AE89" s="3" t="n">
        <v>102</v>
      </c>
      <c r="AF89" s="3" t="n">
        <v>0</v>
      </c>
      <c r="AG89" s="3" t="n">
        <v>2</v>
      </c>
      <c r="AH89" s="3" t="n">
        <v>4</v>
      </c>
      <c r="AI89" s="3" t="n">
        <v>5</v>
      </c>
      <c r="AJ89" s="2" t="n">
        <f aca="false">IF(V89="Optimal", 1, 0)</f>
        <v>1</v>
      </c>
      <c r="AK89" s="3" t="n">
        <f aca="false">IF(AJ89=1, W89-G89)</f>
        <v>0</v>
      </c>
      <c r="AL89" s="4" t="n">
        <f aca="false">IF(AND(AH89&lt;&gt;-1, G89&lt;&gt;"-", G89&lt;&gt;"."), ((G89-AH89)/G89)*100, -1)</f>
        <v>20</v>
      </c>
      <c r="AN89" s="5" t="n">
        <f aca="false">IF(AND(AO89=C89, A89=AP89), 1, 0)</f>
        <v>1</v>
      </c>
      <c r="AO89" s="5" t="s">
        <v>141</v>
      </c>
      <c r="AP89" s="5" t="n">
        <v>5</v>
      </c>
      <c r="AQ89" s="5" t="n">
        <v>3600</v>
      </c>
      <c r="AR89" s="5" t="n">
        <v>100</v>
      </c>
      <c r="AS89" s="5" t="n">
        <v>166</v>
      </c>
      <c r="AT89" s="28" t="n">
        <v>811.747</v>
      </c>
      <c r="AU89" s="28" t="s">
        <v>51</v>
      </c>
      <c r="AV89" s="28" t="n">
        <v>95</v>
      </c>
      <c r="AW89" s="28" t="n">
        <v>95</v>
      </c>
      <c r="AX89" s="28" t="n">
        <v>5</v>
      </c>
      <c r="AY89" s="28" t="n">
        <v>481</v>
      </c>
      <c r="AZ89" s="28" t="n">
        <v>960</v>
      </c>
      <c r="BA89" s="28" t="n">
        <v>66072</v>
      </c>
      <c r="BB89" s="6" t="n">
        <f aca="false">IF(AU89="Optimal", 1, 0)</f>
        <v>1</v>
      </c>
    </row>
    <row r="90" customFormat="false" ht="12.8" hidden="false" customHeight="false" outlineLevel="0" collapsed="false">
      <c r="A90" s="1" t="n">
        <v>5</v>
      </c>
      <c r="B90" s="23" t="s">
        <v>49</v>
      </c>
      <c r="C90" s="24" t="s">
        <v>142</v>
      </c>
      <c r="D90" s="25" t="n">
        <v>100</v>
      </c>
      <c r="E90" s="25" t="n">
        <v>166</v>
      </c>
      <c r="F90" s="25" t="n">
        <v>33</v>
      </c>
      <c r="G90" s="25" t="n">
        <v>5</v>
      </c>
      <c r="H90" s="3" t="n">
        <v>1</v>
      </c>
      <c r="I90" s="26" t="n">
        <v>397.28</v>
      </c>
      <c r="J90" s="26" t="n">
        <f aca="false">IF(I90="tl", 0, 1)</f>
        <v>1</v>
      </c>
      <c r="K90" s="26" t="n">
        <v>22.56</v>
      </c>
      <c r="L90" s="26" t="n">
        <f aca="false">IF(K90="tl", 0, 1)</f>
        <v>1</v>
      </c>
      <c r="M90" s="26" t="n">
        <v>1.17</v>
      </c>
      <c r="N90" s="26" t="n">
        <f aca="false">IF(M90="tl", 0, 1)</f>
        <v>1</v>
      </c>
      <c r="P90" s="23" t="n">
        <v>0</v>
      </c>
      <c r="Q90" s="23"/>
      <c r="R90" s="2" t="n">
        <f aca="false">IF(S90=C90, 1, 0)</f>
        <v>1</v>
      </c>
      <c r="S90" s="27" t="s">
        <v>142</v>
      </c>
      <c r="T90" s="1" t="n">
        <v>100</v>
      </c>
      <c r="U90" s="1" t="n">
        <v>166</v>
      </c>
      <c r="V90" s="3" t="s">
        <v>51</v>
      </c>
      <c r="W90" s="3" t="n">
        <v>5</v>
      </c>
      <c r="X90" s="3" t="n">
        <v>5</v>
      </c>
      <c r="Y90" s="3" t="n">
        <v>7.39144</v>
      </c>
      <c r="Z90" s="3" t="n">
        <v>5.21841</v>
      </c>
      <c r="AA90" s="3" t="n">
        <v>451</v>
      </c>
      <c r="AB90" s="3" t="n">
        <v>5</v>
      </c>
      <c r="AC90" s="3" t="n">
        <v>764</v>
      </c>
      <c r="AD90" s="3" t="n">
        <v>1263</v>
      </c>
      <c r="AE90" s="3" t="n">
        <v>118</v>
      </c>
      <c r="AF90" s="3" t="n">
        <v>0</v>
      </c>
      <c r="AG90" s="3" t="n">
        <v>2</v>
      </c>
      <c r="AH90" s="3" t="n">
        <v>3.9322</v>
      </c>
      <c r="AI90" s="3" t="n">
        <v>5</v>
      </c>
      <c r="AJ90" s="2" t="n">
        <f aca="false">IF(V90="Optimal", 1, 0)</f>
        <v>1</v>
      </c>
      <c r="AK90" s="3" t="n">
        <f aca="false">IF(AJ90=1, W90-G90)</f>
        <v>0</v>
      </c>
      <c r="AL90" s="4" t="n">
        <f aca="false">IF(AND(AH90&lt;&gt;-1, G90&lt;&gt;"-", G90&lt;&gt;"."), ((G90-AH90)/G90)*100, -1)</f>
        <v>21.356</v>
      </c>
      <c r="AN90" s="5" t="n">
        <f aca="false">IF(AND(AO90=C90, A90=AP90), 1, 0)</f>
        <v>1</v>
      </c>
      <c r="AO90" s="5" t="s">
        <v>142</v>
      </c>
      <c r="AP90" s="5" t="n">
        <v>5</v>
      </c>
      <c r="AQ90" s="5" t="n">
        <v>3600</v>
      </c>
      <c r="AR90" s="5" t="n">
        <v>100</v>
      </c>
      <c r="AS90" s="5" t="n">
        <v>166</v>
      </c>
      <c r="AT90" s="28" t="n">
        <v>790.382</v>
      </c>
      <c r="AU90" s="28" t="s">
        <v>51</v>
      </c>
      <c r="AV90" s="28" t="n">
        <v>95</v>
      </c>
      <c r="AW90" s="28" t="n">
        <v>95</v>
      </c>
      <c r="AX90" s="28" t="n">
        <v>5</v>
      </c>
      <c r="AY90" s="28" t="n">
        <v>478</v>
      </c>
      <c r="AZ90" s="28" t="n">
        <v>957</v>
      </c>
      <c r="BA90" s="28" t="n">
        <v>56371</v>
      </c>
      <c r="BB90" s="6" t="n">
        <f aca="false">IF(AU90="Optimal", 1, 0)</f>
        <v>1</v>
      </c>
    </row>
    <row r="91" customFormat="false" ht="12.8" hidden="false" customHeight="false" outlineLevel="0" collapsed="false">
      <c r="A91" s="1" t="n">
        <v>5</v>
      </c>
      <c r="B91" s="23" t="s">
        <v>49</v>
      </c>
      <c r="C91" s="24" t="s">
        <v>143</v>
      </c>
      <c r="D91" s="25" t="n">
        <v>88</v>
      </c>
      <c r="E91" s="25" t="n">
        <v>146</v>
      </c>
      <c r="F91" s="25" t="n">
        <v>29</v>
      </c>
      <c r="G91" s="25" t="n">
        <v>4</v>
      </c>
      <c r="H91" s="3" t="n">
        <v>1</v>
      </c>
      <c r="I91" s="26" t="n">
        <v>62.2</v>
      </c>
      <c r="J91" s="26" t="n">
        <f aca="false">IF(I91="tl", 0, 1)</f>
        <v>1</v>
      </c>
      <c r="K91" s="26" t="n">
        <v>22.23</v>
      </c>
      <c r="L91" s="26" t="n">
        <f aca="false">IF(K91="tl", 0, 1)</f>
        <v>1</v>
      </c>
      <c r="M91" s="26" t="n">
        <v>0.87</v>
      </c>
      <c r="N91" s="26" t="n">
        <f aca="false">IF(M91="tl", 0, 1)</f>
        <v>1</v>
      </c>
      <c r="P91" s="23" t="n">
        <v>0</v>
      </c>
      <c r="Q91" s="23"/>
      <c r="R91" s="2" t="n">
        <f aca="false">IF(S91=C91, 1, 0)</f>
        <v>1</v>
      </c>
      <c r="S91" s="27" t="s">
        <v>143</v>
      </c>
      <c r="T91" s="1" t="n">
        <v>88</v>
      </c>
      <c r="U91" s="1" t="n">
        <v>146</v>
      </c>
      <c r="V91" s="3" t="s">
        <v>51</v>
      </c>
      <c r="W91" s="3" t="n">
        <v>4</v>
      </c>
      <c r="X91" s="3" t="n">
        <v>4</v>
      </c>
      <c r="Y91" s="3" t="n">
        <v>1.72128</v>
      </c>
      <c r="Z91" s="3" t="n">
        <v>1.4146</v>
      </c>
      <c r="AA91" s="3" t="n">
        <v>321</v>
      </c>
      <c r="AB91" s="3" t="n">
        <v>1</v>
      </c>
      <c r="AC91" s="3" t="n">
        <v>672</v>
      </c>
      <c r="AD91" s="3" t="n">
        <v>1111</v>
      </c>
      <c r="AE91" s="3" t="n">
        <v>87</v>
      </c>
      <c r="AF91" s="3" t="n">
        <v>0</v>
      </c>
      <c r="AG91" s="3" t="n">
        <v>0</v>
      </c>
      <c r="AH91" s="3" t="n">
        <v>-1</v>
      </c>
      <c r="AI91" s="3" t="n">
        <v>-1</v>
      </c>
      <c r="AJ91" s="2" t="n">
        <f aca="false">IF(V91="Optimal", 1, 0)</f>
        <v>1</v>
      </c>
      <c r="AK91" s="3" t="n">
        <f aca="false">IF(AJ91=1, W91-G91)</f>
        <v>0</v>
      </c>
      <c r="AL91" s="4" t="n">
        <f aca="false">IF(AND(AH91&lt;&gt;-1, G91&lt;&gt;"-", G91&lt;&gt;"."), ((G91-AH91)/G91)*100, -1)</f>
        <v>-1</v>
      </c>
      <c r="AN91" s="5" t="n">
        <f aca="false">IF(AND(AO91=C91, A91=AP91), 1, 0)</f>
        <v>1</v>
      </c>
      <c r="AO91" s="5" t="s">
        <v>143</v>
      </c>
      <c r="AP91" s="5" t="n">
        <v>5</v>
      </c>
      <c r="AQ91" s="5" t="n">
        <v>3600</v>
      </c>
      <c r="AR91" s="5" t="n">
        <v>88</v>
      </c>
      <c r="AS91" s="5" t="n">
        <v>146</v>
      </c>
      <c r="AT91" s="28" t="n">
        <v>270.49</v>
      </c>
      <c r="AU91" s="28" t="s">
        <v>51</v>
      </c>
      <c r="AV91" s="28" t="n">
        <v>84</v>
      </c>
      <c r="AW91" s="28" t="n">
        <v>84</v>
      </c>
      <c r="AX91" s="28" t="n">
        <v>4</v>
      </c>
      <c r="AY91" s="28" t="n">
        <v>422</v>
      </c>
      <c r="AZ91" s="28" t="n">
        <v>1087</v>
      </c>
      <c r="BA91" s="28" t="n">
        <v>10289</v>
      </c>
      <c r="BB91" s="6" t="n">
        <f aca="false">IF(AU91="Optimal", 1, 0)</f>
        <v>1</v>
      </c>
    </row>
    <row r="92" customFormat="false" ht="12.8" hidden="false" customHeight="false" outlineLevel="0" collapsed="false">
      <c r="A92" s="1" t="n">
        <v>5</v>
      </c>
      <c r="B92" s="23" t="s">
        <v>49</v>
      </c>
      <c r="C92" s="24" t="s">
        <v>144</v>
      </c>
      <c r="D92" s="25" t="n">
        <v>88</v>
      </c>
      <c r="E92" s="25" t="n">
        <v>146</v>
      </c>
      <c r="F92" s="25" t="n">
        <v>29</v>
      </c>
      <c r="G92" s="25" t="n">
        <v>4</v>
      </c>
      <c r="H92" s="3" t="n">
        <v>1</v>
      </c>
      <c r="I92" s="26" t="n">
        <v>16.36</v>
      </c>
      <c r="J92" s="26" t="n">
        <f aca="false">IF(I92="tl", 0, 1)</f>
        <v>1</v>
      </c>
      <c r="K92" s="26" t="n">
        <v>18.83</v>
      </c>
      <c r="L92" s="26" t="n">
        <f aca="false">IF(K92="tl", 0, 1)</f>
        <v>1</v>
      </c>
      <c r="M92" s="26" t="n">
        <v>0.14</v>
      </c>
      <c r="N92" s="26" t="n">
        <f aca="false">IF(M92="tl", 0, 1)</f>
        <v>1</v>
      </c>
      <c r="P92" s="23" t="n">
        <v>0</v>
      </c>
      <c r="Q92" s="23"/>
      <c r="R92" s="2" t="n">
        <f aca="false">IF(S92=C92, 1, 0)</f>
        <v>1</v>
      </c>
      <c r="S92" s="27" t="s">
        <v>144</v>
      </c>
      <c r="T92" s="1" t="n">
        <v>88</v>
      </c>
      <c r="U92" s="1" t="n">
        <v>146</v>
      </c>
      <c r="V92" s="3" t="s">
        <v>51</v>
      </c>
      <c r="W92" s="3" t="n">
        <v>4</v>
      </c>
      <c r="X92" s="3" t="n">
        <v>4</v>
      </c>
      <c r="Y92" s="3" t="n">
        <v>1.30678</v>
      </c>
      <c r="Z92" s="3" t="n">
        <v>0.998249</v>
      </c>
      <c r="AA92" s="3" t="n">
        <v>324</v>
      </c>
      <c r="AB92" s="3" t="n">
        <v>1</v>
      </c>
      <c r="AC92" s="3" t="n">
        <v>672</v>
      </c>
      <c r="AD92" s="3" t="n">
        <v>1111</v>
      </c>
      <c r="AE92" s="3" t="n">
        <v>90</v>
      </c>
      <c r="AF92" s="3" t="n">
        <v>0</v>
      </c>
      <c r="AG92" s="3" t="n">
        <v>0</v>
      </c>
      <c r="AH92" s="3" t="n">
        <v>-1</v>
      </c>
      <c r="AI92" s="3" t="n">
        <v>-1</v>
      </c>
      <c r="AJ92" s="2" t="n">
        <f aca="false">IF(V92="Optimal", 1, 0)</f>
        <v>1</v>
      </c>
      <c r="AK92" s="3" t="n">
        <f aca="false">IF(AJ92=1, W92-G92)</f>
        <v>0</v>
      </c>
      <c r="AL92" s="4" t="n">
        <f aca="false">IF(AND(AH92&lt;&gt;-1, G92&lt;&gt;"-", G92&lt;&gt;"."), ((G92-AH92)/G92)*100, -1)</f>
        <v>-1</v>
      </c>
      <c r="AN92" s="5" t="n">
        <f aca="false">IF(AND(AO92=C92, A92=AP92), 1, 0)</f>
        <v>1</v>
      </c>
      <c r="AO92" s="5" t="s">
        <v>144</v>
      </c>
      <c r="AP92" s="5" t="n">
        <v>5</v>
      </c>
      <c r="AQ92" s="5" t="n">
        <v>3600</v>
      </c>
      <c r="AR92" s="5" t="n">
        <v>88</v>
      </c>
      <c r="AS92" s="5" t="n">
        <v>146</v>
      </c>
      <c r="AT92" s="28" t="n">
        <v>171.279</v>
      </c>
      <c r="AU92" s="28" t="s">
        <v>51</v>
      </c>
      <c r="AV92" s="28" t="n">
        <v>84</v>
      </c>
      <c r="AW92" s="28" t="n">
        <v>84</v>
      </c>
      <c r="AX92" s="28" t="n">
        <v>4</v>
      </c>
      <c r="AY92" s="28" t="n">
        <v>422</v>
      </c>
      <c r="AZ92" s="28" t="n">
        <v>1290</v>
      </c>
      <c r="BA92" s="28" t="n">
        <v>4038</v>
      </c>
      <c r="BB92" s="6" t="n">
        <f aca="false">IF(AU92="Optimal", 1, 0)</f>
        <v>1</v>
      </c>
    </row>
    <row r="93" customFormat="false" ht="12.8" hidden="false" customHeight="false" outlineLevel="0" collapsed="false">
      <c r="A93" s="1" t="n">
        <v>5</v>
      </c>
      <c r="B93" s="23" t="s">
        <v>49</v>
      </c>
      <c r="C93" s="24" t="s">
        <v>145</v>
      </c>
      <c r="D93" s="25" t="n">
        <v>188</v>
      </c>
      <c r="E93" s="25" t="n">
        <v>3885</v>
      </c>
      <c r="F93" s="25" t="n">
        <v>90</v>
      </c>
      <c r="G93" s="25" t="s">
        <v>86</v>
      </c>
      <c r="H93" s="3" t="n">
        <v>1</v>
      </c>
      <c r="I93" s="25" t="s">
        <v>86</v>
      </c>
      <c r="J93" s="26" t="n">
        <f aca="false">IF(I93="tl", 0, 1)</f>
        <v>1</v>
      </c>
      <c r="K93" s="25" t="s">
        <v>86</v>
      </c>
      <c r="L93" s="26" t="n">
        <f aca="false">IF(K93="tl", 0, 1)</f>
        <v>1</v>
      </c>
      <c r="M93" s="25" t="s">
        <v>86</v>
      </c>
      <c r="N93" s="26" t="n">
        <f aca="false">IF(M93="tl", 0, 1)</f>
        <v>1</v>
      </c>
      <c r="P93" s="23" t="n">
        <v>0</v>
      </c>
      <c r="Q93" s="23"/>
      <c r="R93" s="2" t="n">
        <f aca="false">IF(S93=C93, 1, 0)</f>
        <v>1</v>
      </c>
      <c r="S93" s="27" t="s">
        <v>145</v>
      </c>
      <c r="T93" s="1" t="n">
        <v>188</v>
      </c>
      <c r="U93" s="1" t="n">
        <v>3885</v>
      </c>
      <c r="V93" s="3" t="s">
        <v>51</v>
      </c>
      <c r="W93" s="3" t="n">
        <v>0</v>
      </c>
      <c r="X93" s="3" t="n">
        <v>0</v>
      </c>
      <c r="Y93" s="3" t="n">
        <v>48.6277</v>
      </c>
      <c r="Z93" s="3" t="n">
        <v>0.882633</v>
      </c>
      <c r="AA93" s="3" t="n">
        <v>4074</v>
      </c>
      <c r="AB93" s="3" t="n">
        <v>1</v>
      </c>
      <c r="AC93" s="3" t="n">
        <v>15728</v>
      </c>
      <c r="AD93" s="3" t="n">
        <v>27384</v>
      </c>
      <c r="AE93" s="3" t="n">
        <v>1</v>
      </c>
      <c r="AF93" s="3" t="n">
        <v>0</v>
      </c>
      <c r="AG93" s="3" t="n">
        <v>0</v>
      </c>
      <c r="AH93" s="3" t="n">
        <v>-1</v>
      </c>
      <c r="AI93" s="3" t="n">
        <v>-1</v>
      </c>
      <c r="AJ93" s="2" t="n">
        <f aca="false">IF(V93="Optimal", 1, 0)</f>
        <v>1</v>
      </c>
      <c r="AK93" s="3" t="e">
        <f aca="false">IF(AJ93=1, W93-G93)</f>
        <v>#VALUE!</v>
      </c>
      <c r="AL93" s="4" t="n">
        <f aca="false">IF(AND(AH93&lt;&gt;-1, G93&lt;&gt;"-", G93&lt;&gt;"."), ((G93-AH93)/G93)*100, -1)</f>
        <v>-1</v>
      </c>
      <c r="AN93" s="5" t="n">
        <f aca="false">IF(AND(AO93=C93, A93=AP93), 1, 0)</f>
        <v>1</v>
      </c>
      <c r="AO93" s="5" t="s">
        <v>145</v>
      </c>
      <c r="AP93" s="5" t="n">
        <v>5</v>
      </c>
      <c r="AQ93" s="5" t="n">
        <v>3600</v>
      </c>
      <c r="AR93" s="5" t="n">
        <v>188</v>
      </c>
      <c r="AS93" s="5" t="n">
        <v>3885</v>
      </c>
      <c r="AT93" s="28" t="n">
        <v>2.80087</v>
      </c>
      <c r="AU93" s="28" t="s">
        <v>51</v>
      </c>
      <c r="AV93" s="28" t="n">
        <v>188</v>
      </c>
      <c r="AW93" s="28" t="n">
        <v>188</v>
      </c>
      <c r="AX93" s="28" t="n">
        <v>0</v>
      </c>
      <c r="AY93" s="28" t="n">
        <v>940</v>
      </c>
      <c r="AZ93" s="28" t="n">
        <v>19626</v>
      </c>
      <c r="BA93" s="28" t="n">
        <v>1</v>
      </c>
      <c r="BB93" s="6" t="n">
        <f aca="false">IF(AU93="Optimal", 1, 0)</f>
        <v>1</v>
      </c>
    </row>
    <row r="94" customFormat="false" ht="12.8" hidden="false" customHeight="false" outlineLevel="0" collapsed="false">
      <c r="A94" s="1" t="n">
        <v>5</v>
      </c>
      <c r="B94" s="23" t="s">
        <v>49</v>
      </c>
      <c r="C94" s="24" t="s">
        <v>146</v>
      </c>
      <c r="D94" s="25" t="n">
        <v>184</v>
      </c>
      <c r="E94" s="25" t="n">
        <v>3916</v>
      </c>
      <c r="F94" s="25" t="n">
        <v>86</v>
      </c>
      <c r="G94" s="25" t="s">
        <v>86</v>
      </c>
      <c r="H94" s="3" t="n">
        <v>1</v>
      </c>
      <c r="I94" s="25" t="s">
        <v>86</v>
      </c>
      <c r="J94" s="26" t="n">
        <f aca="false">IF(I94="tl", 0, 1)</f>
        <v>1</v>
      </c>
      <c r="K94" s="25" t="s">
        <v>86</v>
      </c>
      <c r="L94" s="26" t="n">
        <f aca="false">IF(K94="tl", 0, 1)</f>
        <v>1</v>
      </c>
      <c r="M94" s="25" t="s">
        <v>86</v>
      </c>
      <c r="N94" s="26" t="n">
        <f aca="false">IF(M94="tl", 0, 1)</f>
        <v>1</v>
      </c>
      <c r="P94" s="23" t="n">
        <v>0</v>
      </c>
      <c r="Q94" s="23"/>
      <c r="R94" s="2" t="n">
        <f aca="false">IF(S94=C94, 1, 0)</f>
        <v>1</v>
      </c>
      <c r="S94" s="27" t="s">
        <v>146</v>
      </c>
      <c r="T94" s="1" t="n">
        <v>184</v>
      </c>
      <c r="U94" s="1" t="n">
        <v>3916</v>
      </c>
      <c r="V94" s="3" t="s">
        <v>51</v>
      </c>
      <c r="W94" s="3" t="n">
        <v>0</v>
      </c>
      <c r="X94" s="3" t="n">
        <v>0</v>
      </c>
      <c r="Y94" s="3" t="n">
        <v>52.068</v>
      </c>
      <c r="Z94" s="3" t="n">
        <v>0.883018</v>
      </c>
      <c r="AA94" s="3" t="n">
        <v>4101</v>
      </c>
      <c r="AB94" s="3" t="n">
        <v>1</v>
      </c>
      <c r="AC94" s="3" t="n">
        <v>15848</v>
      </c>
      <c r="AD94" s="3" t="n">
        <v>27597</v>
      </c>
      <c r="AE94" s="3" t="n">
        <v>1</v>
      </c>
      <c r="AF94" s="3" t="n">
        <v>0</v>
      </c>
      <c r="AG94" s="3" t="n">
        <v>0</v>
      </c>
      <c r="AH94" s="3" t="n">
        <v>-1</v>
      </c>
      <c r="AI94" s="3" t="n">
        <v>-1</v>
      </c>
      <c r="AJ94" s="2" t="n">
        <f aca="false">IF(V94="Optimal", 1, 0)</f>
        <v>1</v>
      </c>
      <c r="AK94" s="3" t="e">
        <f aca="false">IF(AJ94=1, W94-G94)</f>
        <v>#VALUE!</v>
      </c>
      <c r="AL94" s="4" t="n">
        <f aca="false">IF(AND(AH94&lt;&gt;-1, G94&lt;&gt;"-", G94&lt;&gt;"."), ((G94-AH94)/G94)*100, -1)</f>
        <v>-1</v>
      </c>
      <c r="AN94" s="5" t="n">
        <f aca="false">IF(AND(AO94=C94, A94=AP94), 1, 0)</f>
        <v>1</v>
      </c>
      <c r="AO94" s="5" t="s">
        <v>146</v>
      </c>
      <c r="AP94" s="5" t="n">
        <v>5</v>
      </c>
      <c r="AQ94" s="5" t="n">
        <v>3600</v>
      </c>
      <c r="AR94" s="5" t="n">
        <v>184</v>
      </c>
      <c r="AS94" s="5" t="n">
        <v>3916</v>
      </c>
      <c r="AT94" s="28" t="n">
        <v>2.32641</v>
      </c>
      <c r="AU94" s="28" t="s">
        <v>51</v>
      </c>
      <c r="AV94" s="28" t="n">
        <v>184</v>
      </c>
      <c r="AW94" s="28" t="n">
        <v>184</v>
      </c>
      <c r="AX94" s="28" t="n">
        <v>0</v>
      </c>
      <c r="AY94" s="28" t="n">
        <v>920</v>
      </c>
      <c r="AZ94" s="28" t="n">
        <v>19777</v>
      </c>
      <c r="BA94" s="28" t="n">
        <v>1</v>
      </c>
      <c r="BB94" s="6" t="n">
        <f aca="false">IF(AU94="Optimal", 1, 0)</f>
        <v>1</v>
      </c>
    </row>
    <row r="95" customFormat="false" ht="12.8" hidden="false" customHeight="false" outlineLevel="0" collapsed="false">
      <c r="A95" s="1" t="n">
        <v>5</v>
      </c>
      <c r="B95" s="23" t="s">
        <v>49</v>
      </c>
      <c r="C95" s="24" t="s">
        <v>147</v>
      </c>
      <c r="D95" s="25" t="n">
        <v>185</v>
      </c>
      <c r="E95" s="25" t="n">
        <v>3946</v>
      </c>
      <c r="F95" s="25" t="n">
        <v>86</v>
      </c>
      <c r="G95" s="25" t="s">
        <v>86</v>
      </c>
      <c r="H95" s="3" t="n">
        <v>1</v>
      </c>
      <c r="I95" s="25" t="s">
        <v>86</v>
      </c>
      <c r="J95" s="26" t="n">
        <f aca="false">IF(I95="tl", 0, 1)</f>
        <v>1</v>
      </c>
      <c r="K95" s="25" t="s">
        <v>86</v>
      </c>
      <c r="L95" s="26" t="n">
        <f aca="false">IF(K95="tl", 0, 1)</f>
        <v>1</v>
      </c>
      <c r="M95" s="25" t="s">
        <v>86</v>
      </c>
      <c r="N95" s="26" t="n">
        <f aca="false">IF(M95="tl", 0, 1)</f>
        <v>1</v>
      </c>
      <c r="P95" s="23" t="n">
        <v>0</v>
      </c>
      <c r="Q95" s="23"/>
      <c r="R95" s="2" t="n">
        <f aca="false">IF(S95=C95, 1, 0)</f>
        <v>1</v>
      </c>
      <c r="S95" s="27" t="s">
        <v>147</v>
      </c>
      <c r="T95" s="1" t="n">
        <v>185</v>
      </c>
      <c r="U95" s="1" t="n">
        <v>3946</v>
      </c>
      <c r="V95" s="3" t="s">
        <v>51</v>
      </c>
      <c r="W95" s="3" t="n">
        <v>0</v>
      </c>
      <c r="X95" s="3" t="n">
        <v>0</v>
      </c>
      <c r="Y95" s="3" t="n">
        <v>51.8956</v>
      </c>
      <c r="Z95" s="3" t="n">
        <v>0.892539</v>
      </c>
      <c r="AA95" s="3" t="n">
        <v>4132</v>
      </c>
      <c r="AB95" s="3" t="n">
        <v>1</v>
      </c>
      <c r="AC95" s="3" t="n">
        <v>15969</v>
      </c>
      <c r="AD95" s="3" t="n">
        <v>27808</v>
      </c>
      <c r="AE95" s="3" t="n">
        <v>1</v>
      </c>
      <c r="AF95" s="3" t="n">
        <v>0</v>
      </c>
      <c r="AG95" s="3" t="n">
        <v>0</v>
      </c>
      <c r="AH95" s="3" t="n">
        <v>-1</v>
      </c>
      <c r="AI95" s="3" t="n">
        <v>-1</v>
      </c>
      <c r="AJ95" s="2" t="n">
        <f aca="false">IF(V95="Optimal", 1, 0)</f>
        <v>1</v>
      </c>
      <c r="AK95" s="3" t="e">
        <f aca="false">IF(AJ95=1, W95-G95)</f>
        <v>#VALUE!</v>
      </c>
      <c r="AL95" s="4" t="n">
        <f aca="false">IF(AND(AH95&lt;&gt;-1, G95&lt;&gt;"-", G95&lt;&gt;"."), ((G95-AH95)/G95)*100, -1)</f>
        <v>-1</v>
      </c>
      <c r="AN95" s="5" t="n">
        <f aca="false">IF(AND(AO95=C95, A95=AP95), 1, 0)</f>
        <v>1</v>
      </c>
      <c r="AO95" s="5" t="s">
        <v>147</v>
      </c>
      <c r="AP95" s="5" t="n">
        <v>5</v>
      </c>
      <c r="AQ95" s="5" t="n">
        <v>3600</v>
      </c>
      <c r="AR95" s="5" t="n">
        <v>185</v>
      </c>
      <c r="AS95" s="5" t="n">
        <v>3946</v>
      </c>
      <c r="AT95" s="28" t="n">
        <v>2.67774</v>
      </c>
      <c r="AU95" s="28" t="s">
        <v>51</v>
      </c>
      <c r="AV95" s="28" t="n">
        <v>185</v>
      </c>
      <c r="AW95" s="28" t="n">
        <v>185</v>
      </c>
      <c r="AX95" s="28" t="n">
        <v>0</v>
      </c>
      <c r="AY95" s="28" t="n">
        <v>925</v>
      </c>
      <c r="AZ95" s="28" t="n">
        <v>19928</v>
      </c>
      <c r="BA95" s="28" t="n">
        <v>1</v>
      </c>
      <c r="BB95" s="6" t="n">
        <f aca="false">IF(AU95="Optimal", 1, 0)</f>
        <v>1</v>
      </c>
    </row>
    <row r="96" customFormat="false" ht="12.8" hidden="false" customHeight="false" outlineLevel="0" collapsed="false">
      <c r="A96" s="1" t="n">
        <v>5</v>
      </c>
      <c r="B96" s="23" t="s">
        <v>49</v>
      </c>
      <c r="C96" s="24" t="s">
        <v>148</v>
      </c>
      <c r="D96" s="25" t="n">
        <v>186</v>
      </c>
      <c r="E96" s="25" t="n">
        <v>3973</v>
      </c>
      <c r="F96" s="25" t="n">
        <v>88</v>
      </c>
      <c r="G96" s="25" t="s">
        <v>86</v>
      </c>
      <c r="H96" s="3" t="n">
        <v>1</v>
      </c>
      <c r="I96" s="25" t="s">
        <v>86</v>
      </c>
      <c r="J96" s="26" t="n">
        <f aca="false">IF(I96="tl", 0, 1)</f>
        <v>1</v>
      </c>
      <c r="K96" s="25" t="s">
        <v>86</v>
      </c>
      <c r="L96" s="26" t="n">
        <f aca="false">IF(K96="tl", 0, 1)</f>
        <v>1</v>
      </c>
      <c r="M96" s="25" t="s">
        <v>86</v>
      </c>
      <c r="N96" s="26" t="n">
        <f aca="false">IF(M96="tl", 0, 1)</f>
        <v>1</v>
      </c>
      <c r="P96" s="23" t="n">
        <v>0</v>
      </c>
      <c r="Q96" s="23"/>
      <c r="R96" s="2" t="n">
        <f aca="false">IF(S96=C96, 1, 0)</f>
        <v>1</v>
      </c>
      <c r="S96" s="27" t="s">
        <v>148</v>
      </c>
      <c r="T96" s="1" t="n">
        <v>186</v>
      </c>
      <c r="U96" s="1" t="n">
        <v>3973</v>
      </c>
      <c r="V96" s="3" t="s">
        <v>51</v>
      </c>
      <c r="W96" s="3" t="n">
        <v>0</v>
      </c>
      <c r="X96" s="3" t="n">
        <v>0</v>
      </c>
      <c r="Y96" s="3" t="n">
        <v>54.4218</v>
      </c>
      <c r="Z96" s="3" t="n">
        <v>0.903184</v>
      </c>
      <c r="AA96" s="3" t="n">
        <v>4160</v>
      </c>
      <c r="AB96" s="3" t="n">
        <v>1</v>
      </c>
      <c r="AC96" s="3" t="n">
        <v>16078</v>
      </c>
      <c r="AD96" s="3" t="n">
        <v>27998</v>
      </c>
      <c r="AE96" s="3" t="n">
        <v>1</v>
      </c>
      <c r="AF96" s="3" t="n">
        <v>0</v>
      </c>
      <c r="AG96" s="3" t="n">
        <v>0</v>
      </c>
      <c r="AH96" s="3" t="n">
        <v>-1</v>
      </c>
      <c r="AI96" s="3" t="n">
        <v>-1</v>
      </c>
      <c r="AJ96" s="2" t="n">
        <f aca="false">IF(V96="Optimal", 1, 0)</f>
        <v>1</v>
      </c>
      <c r="AK96" s="3" t="e">
        <f aca="false">IF(AJ96=1, W96-G96)</f>
        <v>#VALUE!</v>
      </c>
      <c r="AL96" s="4" t="n">
        <f aca="false">IF(AND(AH96&lt;&gt;-1, G96&lt;&gt;"-", G96&lt;&gt;"."), ((G96-AH96)/G96)*100, -1)</f>
        <v>-1</v>
      </c>
      <c r="AN96" s="5" t="n">
        <f aca="false">IF(AND(AO96=C96, A96=AP96), 1, 0)</f>
        <v>1</v>
      </c>
      <c r="AO96" s="5" t="s">
        <v>148</v>
      </c>
      <c r="AP96" s="5" t="n">
        <v>5</v>
      </c>
      <c r="AQ96" s="5" t="n">
        <v>3600</v>
      </c>
      <c r="AR96" s="5" t="n">
        <v>186</v>
      </c>
      <c r="AS96" s="5" t="n">
        <v>3973</v>
      </c>
      <c r="AT96" s="28" t="n">
        <v>2.49634</v>
      </c>
      <c r="AU96" s="28" t="s">
        <v>51</v>
      </c>
      <c r="AV96" s="28" t="n">
        <v>186</v>
      </c>
      <c r="AW96" s="28" t="n">
        <v>186</v>
      </c>
      <c r="AX96" s="28" t="n">
        <v>0</v>
      </c>
      <c r="AY96" s="28" t="n">
        <v>930</v>
      </c>
      <c r="AZ96" s="28" t="n">
        <v>20064</v>
      </c>
      <c r="BA96" s="28" t="n">
        <v>1</v>
      </c>
      <c r="BB96" s="6" t="n">
        <f aca="false">IF(AU96="Optimal", 1, 0)</f>
        <v>1</v>
      </c>
    </row>
    <row r="97" customFormat="false" ht="12.8" hidden="false" customHeight="false" outlineLevel="0" collapsed="false">
      <c r="A97" s="1" t="n">
        <v>5</v>
      </c>
      <c r="B97" s="23" t="s">
        <v>49</v>
      </c>
      <c r="C97" s="24" t="s">
        <v>149</v>
      </c>
      <c r="D97" s="25" t="n">
        <v>11</v>
      </c>
      <c r="E97" s="25" t="n">
        <v>20</v>
      </c>
      <c r="F97" s="25" t="n">
        <v>5</v>
      </c>
      <c r="G97" s="25" t="s">
        <v>86</v>
      </c>
      <c r="H97" s="3" t="n">
        <v>1</v>
      </c>
      <c r="I97" s="25" t="s">
        <v>86</v>
      </c>
      <c r="J97" s="26" t="n">
        <f aca="false">IF(I97="tl", 0, 1)</f>
        <v>1</v>
      </c>
      <c r="K97" s="25" t="s">
        <v>86</v>
      </c>
      <c r="L97" s="26" t="n">
        <f aca="false">IF(K97="tl", 0, 1)</f>
        <v>1</v>
      </c>
      <c r="M97" s="25" t="s">
        <v>86</v>
      </c>
      <c r="N97" s="26" t="n">
        <f aca="false">IF(M97="tl", 0, 1)</f>
        <v>1</v>
      </c>
      <c r="P97" s="23" t="n">
        <v>6</v>
      </c>
      <c r="Q97" s="23"/>
      <c r="R97" s="2" t="n">
        <f aca="false">IF(S97=C97, 1, 0)</f>
        <v>1</v>
      </c>
      <c r="S97" s="27" t="s">
        <v>149</v>
      </c>
      <c r="T97" s="1" t="n">
        <v>11</v>
      </c>
      <c r="U97" s="1" t="n">
        <v>20</v>
      </c>
      <c r="V97" s="3" t="s">
        <v>51</v>
      </c>
      <c r="W97" s="3" t="n">
        <v>6</v>
      </c>
      <c r="X97" s="3" t="n">
        <v>6</v>
      </c>
      <c r="Y97" s="3" t="n">
        <v>0.098903</v>
      </c>
      <c r="Z97" s="3" t="n">
        <v>0.025648</v>
      </c>
      <c r="AA97" s="3" t="n">
        <v>34</v>
      </c>
      <c r="AB97" s="3" t="n">
        <v>3</v>
      </c>
      <c r="AC97" s="3" t="n">
        <v>91</v>
      </c>
      <c r="AD97" s="3" t="n">
        <v>152</v>
      </c>
      <c r="AE97" s="3" t="n">
        <v>2</v>
      </c>
      <c r="AF97" s="3" t="n">
        <v>0</v>
      </c>
      <c r="AG97" s="3" t="n">
        <v>1</v>
      </c>
      <c r="AH97" s="3" t="n">
        <v>4.88889</v>
      </c>
      <c r="AI97" s="30" t="n">
        <v>6</v>
      </c>
      <c r="AJ97" s="2" t="n">
        <f aca="false">IF(V97="Optimal", 1, 0)</f>
        <v>1</v>
      </c>
      <c r="AK97" s="3" t="e">
        <f aca="false">IF(AJ97=1, W97-G97)</f>
        <v>#VALUE!</v>
      </c>
      <c r="AL97" s="4" t="n">
        <f aca="false">IF(AND(AH97&lt;&gt;-1, G97&lt;&gt;"-", G97&lt;&gt;"."), ((G97-AH97)/G97)*100, -1)</f>
        <v>-1</v>
      </c>
      <c r="AN97" s="5" t="n">
        <f aca="false">IF(AND(AO97=C97, A97=AP97), 1, 0)</f>
        <v>1</v>
      </c>
      <c r="AO97" s="5" t="s">
        <v>149</v>
      </c>
      <c r="AP97" s="5" t="n">
        <v>5</v>
      </c>
      <c r="AQ97" s="5" t="n">
        <v>3600</v>
      </c>
      <c r="AR97" s="5" t="n">
        <v>11</v>
      </c>
      <c r="AS97" s="5" t="n">
        <v>20</v>
      </c>
      <c r="AT97" s="28" t="n">
        <v>0.011904</v>
      </c>
      <c r="AU97" s="28" t="s">
        <v>51</v>
      </c>
      <c r="AV97" s="28" t="n">
        <v>5</v>
      </c>
      <c r="AW97" s="28" t="n">
        <v>5</v>
      </c>
      <c r="AX97" s="28" t="n">
        <v>6</v>
      </c>
      <c r="AY97" s="28" t="n">
        <v>0</v>
      </c>
      <c r="AZ97" s="28" t="n">
        <v>0</v>
      </c>
      <c r="BA97" s="28" t="n">
        <v>0</v>
      </c>
      <c r="BB97" s="6" t="n">
        <f aca="false">IF(AU97="Optimal", 1, 0)</f>
        <v>1</v>
      </c>
    </row>
    <row r="98" customFormat="false" ht="12.8" hidden="false" customHeight="false" outlineLevel="0" collapsed="false">
      <c r="A98" s="1" t="n">
        <v>5</v>
      </c>
      <c r="B98" s="23" t="s">
        <v>49</v>
      </c>
      <c r="C98" s="24" t="s">
        <v>150</v>
      </c>
      <c r="D98" s="25" t="n">
        <v>23</v>
      </c>
      <c r="E98" s="25" t="n">
        <v>71</v>
      </c>
      <c r="F98" s="25" t="n">
        <v>11</v>
      </c>
      <c r="G98" s="25" t="n">
        <v>7</v>
      </c>
      <c r="H98" s="3" t="n">
        <v>1</v>
      </c>
      <c r="I98" s="26" t="n">
        <v>0.29</v>
      </c>
      <c r="J98" s="26" t="n">
        <f aca="false">IF(I98="tl", 0, 1)</f>
        <v>1</v>
      </c>
      <c r="K98" s="26" t="n">
        <v>1.58</v>
      </c>
      <c r="L98" s="26" t="n">
        <f aca="false">IF(K98="tl", 0, 1)</f>
        <v>1</v>
      </c>
      <c r="M98" s="26" t="n">
        <v>0.1</v>
      </c>
      <c r="N98" s="26" t="n">
        <f aca="false">IF(M98="tl", 0, 1)</f>
        <v>1</v>
      </c>
      <c r="P98" s="23" t="n">
        <v>0</v>
      </c>
      <c r="Q98" s="23"/>
      <c r="R98" s="2" t="n">
        <f aca="false">IF(S98=C98, 1, 0)</f>
        <v>1</v>
      </c>
      <c r="S98" s="27" t="s">
        <v>150</v>
      </c>
      <c r="T98" s="1" t="n">
        <v>23</v>
      </c>
      <c r="U98" s="1" t="n">
        <v>71</v>
      </c>
      <c r="V98" s="3" t="s">
        <v>51</v>
      </c>
      <c r="W98" s="3" t="n">
        <v>7</v>
      </c>
      <c r="X98" s="3" t="n">
        <v>7</v>
      </c>
      <c r="Y98" s="3" t="n">
        <v>0.47594</v>
      </c>
      <c r="Z98" s="3" t="n">
        <v>0.250492</v>
      </c>
      <c r="AA98" s="3" t="n">
        <v>121</v>
      </c>
      <c r="AB98" s="3" t="n">
        <v>11</v>
      </c>
      <c r="AC98" s="3" t="n">
        <v>307</v>
      </c>
      <c r="AD98" s="3" t="n">
        <v>521</v>
      </c>
      <c r="AE98" s="3" t="n">
        <v>4</v>
      </c>
      <c r="AF98" s="3" t="n">
        <v>0</v>
      </c>
      <c r="AG98" s="3" t="n">
        <v>7</v>
      </c>
      <c r="AH98" s="3" t="n">
        <v>4.38095</v>
      </c>
      <c r="AI98" s="3" t="n">
        <v>8</v>
      </c>
      <c r="AJ98" s="2" t="n">
        <f aca="false">IF(V98="Optimal", 1, 0)</f>
        <v>1</v>
      </c>
      <c r="AK98" s="3" t="n">
        <f aca="false">IF(AJ98=1, W98-G98)</f>
        <v>0</v>
      </c>
      <c r="AL98" s="4" t="n">
        <f aca="false">IF(AND(AH98&lt;&gt;-1, G98&lt;&gt;"-", G98&lt;&gt;"."), ((G98-AH98)/G98)*100, -1)</f>
        <v>37.415</v>
      </c>
      <c r="AN98" s="5" t="n">
        <f aca="false">IF(AND(AO98=C98, A98=AP98), 1, 0)</f>
        <v>1</v>
      </c>
      <c r="AO98" s="5" t="s">
        <v>150</v>
      </c>
      <c r="AP98" s="5" t="n">
        <v>5</v>
      </c>
      <c r="AQ98" s="5" t="n">
        <v>3600</v>
      </c>
      <c r="AR98" s="5" t="n">
        <v>23</v>
      </c>
      <c r="AS98" s="5" t="n">
        <v>71</v>
      </c>
      <c r="AT98" s="28" t="n">
        <v>2.74853</v>
      </c>
      <c r="AU98" s="28" t="s">
        <v>51</v>
      </c>
      <c r="AV98" s="28" t="n">
        <v>16</v>
      </c>
      <c r="AW98" s="28" t="n">
        <v>16</v>
      </c>
      <c r="AX98" s="28" t="n">
        <v>7</v>
      </c>
      <c r="AY98" s="28" t="n">
        <v>86</v>
      </c>
      <c r="AZ98" s="28" t="n">
        <v>354</v>
      </c>
      <c r="BA98" s="28" t="n">
        <v>7</v>
      </c>
      <c r="BB98" s="6" t="n">
        <f aca="false">IF(AU98="Optimal", 1, 0)</f>
        <v>1</v>
      </c>
    </row>
    <row r="99" customFormat="false" ht="12.8" hidden="false" customHeight="false" outlineLevel="0" collapsed="false">
      <c r="A99" s="1" t="n">
        <v>5</v>
      </c>
      <c r="B99" s="23" t="s">
        <v>49</v>
      </c>
      <c r="C99" s="24" t="s">
        <v>151</v>
      </c>
      <c r="D99" s="25" t="n">
        <v>47</v>
      </c>
      <c r="E99" s="25" t="n">
        <v>236</v>
      </c>
      <c r="F99" s="25" t="n">
        <v>23</v>
      </c>
      <c r="G99" s="25" t="n">
        <v>8</v>
      </c>
      <c r="H99" s="3" t="n">
        <v>1</v>
      </c>
      <c r="I99" s="26" t="n">
        <v>3.8</v>
      </c>
      <c r="J99" s="26" t="n">
        <f aca="false">IF(I99="tl", 0, 1)</f>
        <v>1</v>
      </c>
      <c r="K99" s="26" t="n">
        <v>18.71</v>
      </c>
      <c r="L99" s="26" t="n">
        <f aca="false">IF(K99="tl", 0, 1)</f>
        <v>1</v>
      </c>
      <c r="M99" s="26" t="n">
        <v>0.6</v>
      </c>
      <c r="N99" s="26" t="n">
        <f aca="false">IF(M99="tl", 0, 1)</f>
        <v>1</v>
      </c>
      <c r="P99" s="23" t="n">
        <v>0</v>
      </c>
      <c r="Q99" s="23"/>
      <c r="R99" s="2" t="n">
        <f aca="false">IF(S99=C99, 1, 0)</f>
        <v>1</v>
      </c>
      <c r="S99" s="27" t="s">
        <v>151</v>
      </c>
      <c r="T99" s="1" t="n">
        <v>47</v>
      </c>
      <c r="U99" s="1" t="n">
        <v>236</v>
      </c>
      <c r="V99" s="3" t="s">
        <v>51</v>
      </c>
      <c r="W99" s="3" t="n">
        <v>8</v>
      </c>
      <c r="X99" s="3" t="n">
        <v>8</v>
      </c>
      <c r="Y99" s="3" t="n">
        <v>11.0699</v>
      </c>
      <c r="Z99" s="3" t="n">
        <v>5.70174</v>
      </c>
      <c r="AA99" s="3" t="n">
        <v>917</v>
      </c>
      <c r="AB99" s="3" t="n">
        <v>30</v>
      </c>
      <c r="AC99" s="3" t="n">
        <v>991</v>
      </c>
      <c r="AD99" s="3" t="n">
        <v>1700</v>
      </c>
      <c r="AE99" s="3" t="n">
        <v>2</v>
      </c>
      <c r="AF99" s="3" t="n">
        <v>0</v>
      </c>
      <c r="AG99" s="3" t="n">
        <v>13</v>
      </c>
      <c r="AH99" s="3" t="n">
        <v>4.17778</v>
      </c>
      <c r="AI99" s="3" t="n">
        <v>23</v>
      </c>
      <c r="AJ99" s="2" t="n">
        <f aca="false">IF(V99="Optimal", 1, 0)</f>
        <v>1</v>
      </c>
      <c r="AK99" s="3" t="n">
        <f aca="false">IF(AJ99=1, W99-G99)</f>
        <v>0</v>
      </c>
      <c r="AL99" s="4" t="n">
        <f aca="false">IF(AND(AH99&lt;&gt;-1, G99&lt;&gt;"-", G99&lt;&gt;"."), ((G99-AH99)/G99)*100, -1)</f>
        <v>47.77775</v>
      </c>
      <c r="AN99" s="5" t="n">
        <f aca="false">IF(AND(AO99=C99, A99=AP99), 1, 0)</f>
        <v>1</v>
      </c>
      <c r="AO99" s="5" t="s">
        <v>151</v>
      </c>
      <c r="AP99" s="5" t="n">
        <v>5</v>
      </c>
      <c r="AQ99" s="5" t="n">
        <v>3600</v>
      </c>
      <c r="AR99" s="5" t="n">
        <v>47</v>
      </c>
      <c r="AS99" s="5" t="n">
        <v>236</v>
      </c>
      <c r="AT99" s="28" t="n">
        <v>21.9138</v>
      </c>
      <c r="AU99" s="28" t="s">
        <v>51</v>
      </c>
      <c r="AV99" s="28" t="n">
        <v>39</v>
      </c>
      <c r="AW99" s="28" t="n">
        <v>39</v>
      </c>
      <c r="AX99" s="28" t="n">
        <v>8</v>
      </c>
      <c r="AY99" s="28" t="n">
        <v>211</v>
      </c>
      <c r="AZ99" s="28" t="n">
        <v>949</v>
      </c>
      <c r="BA99" s="28" t="n">
        <v>92</v>
      </c>
      <c r="BB99" s="6" t="n">
        <f aca="false">IF(AU99="Optimal", 1, 0)</f>
        <v>1</v>
      </c>
    </row>
    <row r="100" customFormat="false" ht="12.8" hidden="false" customHeight="false" outlineLevel="0" collapsed="false">
      <c r="A100" s="1" t="n">
        <v>5</v>
      </c>
      <c r="B100" s="23" t="s">
        <v>49</v>
      </c>
      <c r="C100" s="24" t="s">
        <v>152</v>
      </c>
      <c r="D100" s="25" t="n">
        <v>95</v>
      </c>
      <c r="E100" s="25" t="n">
        <v>755</v>
      </c>
      <c r="F100" s="25" t="n">
        <v>47</v>
      </c>
      <c r="G100" s="25" t="n">
        <v>9</v>
      </c>
      <c r="H100" s="3" t="n">
        <v>1</v>
      </c>
      <c r="I100" s="26" t="n">
        <v>43.87</v>
      </c>
      <c r="J100" s="26" t="n">
        <f aca="false">IF(I100="tl", 0, 1)</f>
        <v>1</v>
      </c>
      <c r="K100" s="26" t="s">
        <v>53</v>
      </c>
      <c r="L100" s="26" t="n">
        <f aca="false">IF(K100="tl", 0, 1)</f>
        <v>0</v>
      </c>
      <c r="M100" s="26" t="n">
        <v>6.26</v>
      </c>
      <c r="N100" s="26" t="n">
        <f aca="false">IF(M100="tl", 0, 1)</f>
        <v>1</v>
      </c>
      <c r="P100" s="23" t="n">
        <v>0</v>
      </c>
      <c r="Q100" s="23"/>
      <c r="R100" s="2" t="n">
        <f aca="false">IF(S100=C100, 1, 0)</f>
        <v>1</v>
      </c>
      <c r="S100" s="27" t="s">
        <v>152</v>
      </c>
      <c r="T100" s="1" t="n">
        <v>95</v>
      </c>
      <c r="U100" s="1" t="n">
        <v>755</v>
      </c>
      <c r="V100" s="3" t="s">
        <v>54</v>
      </c>
      <c r="W100" s="3" t="n">
        <v>9</v>
      </c>
      <c r="X100" s="3" t="n">
        <v>8</v>
      </c>
      <c r="Y100" s="3" t="n">
        <v>1800</v>
      </c>
      <c r="Z100" s="3" t="n">
        <v>1031.83</v>
      </c>
      <c r="AA100" s="3" t="n">
        <v>10552</v>
      </c>
      <c r="AB100" s="3" t="n">
        <v>17</v>
      </c>
      <c r="AC100" s="3" t="n">
        <v>3115</v>
      </c>
      <c r="AD100" s="3" t="n">
        <v>5381</v>
      </c>
      <c r="AE100" s="3" t="n">
        <v>10</v>
      </c>
      <c r="AF100" s="3" t="n">
        <v>0</v>
      </c>
      <c r="AG100" s="3" t="n">
        <v>9</v>
      </c>
      <c r="AH100" s="3" t="n">
        <v>4.08602</v>
      </c>
      <c r="AI100" s="3" t="n">
        <v>46</v>
      </c>
      <c r="AJ100" s="2" t="n">
        <f aca="false">IF(V100="Optimal", 1, 0)</f>
        <v>0</v>
      </c>
      <c r="AK100" s="29" t="b">
        <f aca="false">IF(AJ100=1, W100-G100)</f>
        <v>0</v>
      </c>
      <c r="AL100" s="4" t="n">
        <f aca="false">IF(AND(AH100&lt;&gt;-1, G100&lt;&gt;"-", G100&lt;&gt;"."), ((G100-AH100)/G100)*100, -1)</f>
        <v>54.5997777777778</v>
      </c>
      <c r="AN100" s="5" t="n">
        <f aca="false">IF(AND(AO100=C100, A100=AP100), 1, 0)</f>
        <v>1</v>
      </c>
      <c r="AO100" s="5" t="s">
        <v>152</v>
      </c>
      <c r="AP100" s="5" t="n">
        <v>5</v>
      </c>
      <c r="AQ100" s="5" t="n">
        <v>3600</v>
      </c>
      <c r="AR100" s="5" t="n">
        <v>95</v>
      </c>
      <c r="AS100" s="5" t="n">
        <v>755</v>
      </c>
      <c r="AT100" s="28" t="n">
        <v>118.58</v>
      </c>
      <c r="AU100" s="28" t="s">
        <v>51</v>
      </c>
      <c r="AV100" s="28" t="n">
        <v>86</v>
      </c>
      <c r="AW100" s="28" t="n">
        <v>86</v>
      </c>
      <c r="AX100" s="28" t="n">
        <v>9</v>
      </c>
      <c r="AY100" s="28" t="n">
        <v>451</v>
      </c>
      <c r="AZ100" s="28" t="n">
        <v>2639</v>
      </c>
      <c r="BA100" s="28" t="n">
        <v>388</v>
      </c>
      <c r="BB100" s="6" t="n">
        <f aca="false">IF(AU100="Optimal", 1, 0)</f>
        <v>1</v>
      </c>
    </row>
    <row r="101" customFormat="false" ht="12.8" hidden="false" customHeight="false" outlineLevel="0" collapsed="false">
      <c r="A101" s="1" t="n">
        <v>5</v>
      </c>
      <c r="B101" s="23" t="s">
        <v>49</v>
      </c>
      <c r="C101" s="24" t="s">
        <v>153</v>
      </c>
      <c r="D101" s="25" t="n">
        <v>191</v>
      </c>
      <c r="E101" s="25" t="n">
        <v>2360</v>
      </c>
      <c r="F101" s="25" t="n">
        <v>95</v>
      </c>
      <c r="G101" s="25" t="n">
        <v>10</v>
      </c>
      <c r="H101" s="3" t="n">
        <v>1</v>
      </c>
      <c r="I101" s="26" t="n">
        <v>940.63</v>
      </c>
      <c r="J101" s="26" t="n">
        <f aca="false">IF(I101="tl", 0, 1)</f>
        <v>1</v>
      </c>
      <c r="K101" s="26" t="s">
        <v>53</v>
      </c>
      <c r="L101" s="26" t="n">
        <f aca="false">IF(K101="tl", 0, 1)</f>
        <v>0</v>
      </c>
      <c r="M101" s="26" t="n">
        <v>580.86</v>
      </c>
      <c r="N101" s="26" t="n">
        <f aca="false">IF(M101="tl", 0, 1)</f>
        <v>1</v>
      </c>
      <c r="P101" s="23" t="n">
        <v>0</v>
      </c>
      <c r="Q101" s="23"/>
      <c r="R101" s="2" t="n">
        <f aca="false">IF(S101=C101, 1, 0)</f>
        <v>1</v>
      </c>
      <c r="S101" s="27" t="s">
        <v>153</v>
      </c>
      <c r="T101" s="1" t="n">
        <v>191</v>
      </c>
      <c r="U101" s="1" t="n">
        <v>2360</v>
      </c>
      <c r="V101" s="3" t="s">
        <v>54</v>
      </c>
      <c r="W101" s="3" t="n">
        <v>92</v>
      </c>
      <c r="X101" s="3" t="n">
        <v>5.04255</v>
      </c>
      <c r="Y101" s="3" t="n">
        <v>1800</v>
      </c>
      <c r="Z101" s="3" t="n">
        <v>128.604</v>
      </c>
      <c r="AA101" s="3" t="n">
        <v>7043</v>
      </c>
      <c r="AB101" s="3" t="n">
        <v>4</v>
      </c>
      <c r="AC101" s="3" t="n">
        <v>9631</v>
      </c>
      <c r="AD101" s="3" t="n">
        <v>16712</v>
      </c>
      <c r="AE101" s="3" t="n">
        <v>17</v>
      </c>
      <c r="AF101" s="3" t="n">
        <v>0</v>
      </c>
      <c r="AG101" s="3" t="n">
        <v>2</v>
      </c>
      <c r="AH101" s="3" t="n">
        <v>4.04233</v>
      </c>
      <c r="AI101" s="3" t="n">
        <v>92</v>
      </c>
      <c r="AJ101" s="2" t="n">
        <f aca="false">IF(V101="Optimal", 1, 0)</f>
        <v>0</v>
      </c>
      <c r="AK101" s="29" t="b">
        <f aca="false">IF(AJ101=1, W101-G101)</f>
        <v>0</v>
      </c>
      <c r="AL101" s="4" t="n">
        <f aca="false">IF(AND(AH101&lt;&gt;-1, G101&lt;&gt;"-", G101&lt;&gt;"."), ((G101-AH101)/G101)*100, -1)</f>
        <v>59.5767</v>
      </c>
      <c r="AN101" s="5" t="n">
        <f aca="false">IF(AND(AO101=C101, A101=AP101), 1, 0)</f>
        <v>1</v>
      </c>
      <c r="AO101" s="5" t="s">
        <v>153</v>
      </c>
      <c r="AP101" s="5" t="n">
        <v>5</v>
      </c>
      <c r="AQ101" s="5" t="n">
        <v>3600</v>
      </c>
      <c r="AR101" s="5" t="n">
        <v>191</v>
      </c>
      <c r="AS101" s="5" t="n">
        <v>2360</v>
      </c>
      <c r="AT101" s="28" t="n">
        <v>904.817</v>
      </c>
      <c r="AU101" s="28" t="s">
        <v>51</v>
      </c>
      <c r="AV101" s="28" t="n">
        <v>181</v>
      </c>
      <c r="AW101" s="28" t="n">
        <v>181</v>
      </c>
      <c r="AX101" s="28" t="n">
        <v>10</v>
      </c>
      <c r="AY101" s="28" t="n">
        <v>931</v>
      </c>
      <c r="AZ101" s="28" t="n">
        <v>10814</v>
      </c>
      <c r="BA101" s="28" t="n">
        <v>630</v>
      </c>
      <c r="BB101" s="6" t="n">
        <f aca="false">IF(AU101="Optimal", 1, 0)</f>
        <v>1</v>
      </c>
    </row>
    <row r="102" customFormat="false" ht="12.8" hidden="false" customHeight="false" outlineLevel="0" collapsed="false">
      <c r="A102" s="1" t="n">
        <v>5</v>
      </c>
      <c r="B102" s="23" t="s">
        <v>64</v>
      </c>
      <c r="C102" s="24" t="s">
        <v>154</v>
      </c>
      <c r="D102" s="25" t="n">
        <v>105</v>
      </c>
      <c r="E102" s="25" t="n">
        <v>441</v>
      </c>
      <c r="F102" s="25" t="n">
        <v>43</v>
      </c>
      <c r="G102" s="25" t="n">
        <v>8</v>
      </c>
      <c r="H102" s="3" t="n">
        <v>1</v>
      </c>
      <c r="I102" s="26" t="n">
        <v>78.21</v>
      </c>
      <c r="J102" s="26" t="n">
        <f aca="false">IF(I102="tl", 0, 1)</f>
        <v>1</v>
      </c>
      <c r="K102" s="26" t="n">
        <v>67.08</v>
      </c>
      <c r="L102" s="26" t="n">
        <f aca="false">IF(K102="tl", 0, 1)</f>
        <v>1</v>
      </c>
      <c r="M102" s="26" t="n">
        <v>411.21</v>
      </c>
      <c r="N102" s="26" t="n">
        <f aca="false">IF(M102="tl", 0, 1)</f>
        <v>1</v>
      </c>
      <c r="P102" s="23" t="n">
        <v>0</v>
      </c>
      <c r="Q102" s="23"/>
      <c r="R102" s="2" t="n">
        <f aca="false">IF(S102=C102, 1, 0)</f>
        <v>1</v>
      </c>
      <c r="S102" s="27" t="s">
        <v>154</v>
      </c>
      <c r="T102" s="1" t="n">
        <v>105</v>
      </c>
      <c r="U102" s="1" t="n">
        <v>441</v>
      </c>
      <c r="V102" s="3" t="s">
        <v>54</v>
      </c>
      <c r="W102" s="3" t="n">
        <v>39</v>
      </c>
      <c r="X102" s="3" t="n">
        <v>4.67606</v>
      </c>
      <c r="Y102" s="3" t="n">
        <v>1800.12</v>
      </c>
      <c r="Z102" s="3" t="n">
        <v>78.8455</v>
      </c>
      <c r="AA102" s="3" t="n">
        <v>14299</v>
      </c>
      <c r="AB102" s="3" t="n">
        <v>4</v>
      </c>
      <c r="AC102" s="3" t="n">
        <v>1869</v>
      </c>
      <c r="AD102" s="3" t="n">
        <v>3193</v>
      </c>
      <c r="AE102" s="3" t="n">
        <v>13</v>
      </c>
      <c r="AF102" s="3" t="n">
        <v>0</v>
      </c>
      <c r="AG102" s="3" t="n">
        <v>2</v>
      </c>
      <c r="AH102" s="3" t="n">
        <v>4.07767</v>
      </c>
      <c r="AI102" s="3" t="n">
        <v>39</v>
      </c>
      <c r="AJ102" s="2" t="n">
        <f aca="false">IF(V102="Optimal", 1, 0)</f>
        <v>0</v>
      </c>
      <c r="AK102" s="29" t="b">
        <f aca="false">IF(AJ102=1, W102-G102)</f>
        <v>0</v>
      </c>
      <c r="AL102" s="4" t="n">
        <f aca="false">IF(AND(AH102&lt;&gt;-1, G102&lt;&gt;"-", G102&lt;&gt;"."), ((G102-AH102)/G102)*100, -1)</f>
        <v>49.029125</v>
      </c>
      <c r="AN102" s="5" t="n">
        <f aca="false">IF(AND(AO102=C102, A102=AP102), 1, 0)</f>
        <v>1</v>
      </c>
      <c r="AO102" s="5" t="s">
        <v>154</v>
      </c>
      <c r="AP102" s="5" t="n">
        <v>5</v>
      </c>
      <c r="AQ102" s="5" t="n">
        <v>3600</v>
      </c>
      <c r="AR102" s="5" t="n">
        <v>105</v>
      </c>
      <c r="AS102" s="5" t="n">
        <v>441</v>
      </c>
      <c r="AT102" s="28" t="n">
        <v>294.812</v>
      </c>
      <c r="AU102" s="28" t="s">
        <v>51</v>
      </c>
      <c r="AV102" s="28" t="n">
        <v>97</v>
      </c>
      <c r="AW102" s="28" t="n">
        <v>97</v>
      </c>
      <c r="AX102" s="28" t="n">
        <v>8</v>
      </c>
      <c r="AY102" s="28" t="n">
        <v>515</v>
      </c>
      <c r="AZ102" s="28" t="n">
        <v>1263</v>
      </c>
      <c r="BA102" s="28" t="n">
        <v>4219</v>
      </c>
      <c r="BB102" s="6" t="n">
        <f aca="false">IF(AU102="Optimal", 1, 0)</f>
        <v>1</v>
      </c>
    </row>
    <row r="103" s="31" customFormat="true" ht="12.8" hidden="false" customHeight="false" outlineLevel="0" collapsed="false">
      <c r="A103" s="1" t="n">
        <v>5</v>
      </c>
      <c r="B103" s="23" t="s">
        <v>67</v>
      </c>
      <c r="C103" s="24" t="s">
        <v>155</v>
      </c>
      <c r="D103" s="25" t="n">
        <v>30</v>
      </c>
      <c r="E103" s="25" t="n">
        <v>179</v>
      </c>
      <c r="F103" s="25" t="n">
        <v>6</v>
      </c>
      <c r="G103" s="25" t="n">
        <v>20</v>
      </c>
      <c r="H103" s="3" t="n">
        <v>1</v>
      </c>
      <c r="I103" s="25" t="n">
        <v>0.24</v>
      </c>
      <c r="J103" s="26" t="n">
        <f aca="false">IF(I103="tl", 0, 1)</f>
        <v>1</v>
      </c>
      <c r="K103" s="25" t="n">
        <v>0.65</v>
      </c>
      <c r="L103" s="26" t="n">
        <f aca="false">IF(K103="tl", 0, 1)</f>
        <v>1</v>
      </c>
      <c r="M103" s="25" t="n">
        <v>0.18</v>
      </c>
      <c r="N103" s="26" t="n">
        <f aca="false">IF(M103="tl", 0, 1)</f>
        <v>1</v>
      </c>
      <c r="O103" s="3"/>
      <c r="P103" s="23" t="n">
        <v>4</v>
      </c>
      <c r="Q103" s="23"/>
      <c r="R103" s="2" t="n">
        <f aca="false">IF(S103=C103, 1, 0)</f>
        <v>1</v>
      </c>
      <c r="S103" s="27" t="s">
        <v>155</v>
      </c>
      <c r="T103" s="27" t="n">
        <v>30</v>
      </c>
      <c r="U103" s="27" t="n">
        <v>179</v>
      </c>
      <c r="V103" s="3" t="s">
        <v>51</v>
      </c>
      <c r="W103" s="3" t="n">
        <v>20</v>
      </c>
      <c r="X103" s="3" t="n">
        <v>20</v>
      </c>
      <c r="Y103" s="3" t="n">
        <v>95.2446</v>
      </c>
      <c r="Z103" s="3" t="n">
        <v>76.6956</v>
      </c>
      <c r="AA103" s="3" t="n">
        <v>2677</v>
      </c>
      <c r="AB103" s="3" t="n">
        <v>381</v>
      </c>
      <c r="AC103" s="3" t="n">
        <v>746</v>
      </c>
      <c r="AD103" s="3" t="n">
        <v>1284</v>
      </c>
      <c r="AE103" s="3" t="n">
        <v>2</v>
      </c>
      <c r="AF103" s="3" t="n">
        <v>4</v>
      </c>
      <c r="AG103" s="3" t="n">
        <v>18</v>
      </c>
      <c r="AH103" s="3" t="n">
        <v>4.28571</v>
      </c>
      <c r="AI103" s="3" t="n">
        <v>25</v>
      </c>
      <c r="AJ103" s="2" t="n">
        <f aca="false">IF(V103="Optimal", 1, 0)</f>
        <v>1</v>
      </c>
      <c r="AK103" s="3" t="n">
        <f aca="false">IF(AJ103=1, W103-G103)</f>
        <v>0</v>
      </c>
      <c r="AL103" s="4" t="n">
        <f aca="false">IF(AND(AH103&lt;&gt;-1, G103&lt;&gt;"-", G103&lt;&gt;"."), ((G103-AH103)/G103)*100, -1)</f>
        <v>78.57145</v>
      </c>
      <c r="AN103" s="5" t="n">
        <f aca="false">IF(AND(AO103=C103, A103=AP103), 1, 0)</f>
        <v>1</v>
      </c>
      <c r="AO103" s="5" t="s">
        <v>155</v>
      </c>
      <c r="AP103" s="5" t="n">
        <v>5</v>
      </c>
      <c r="AQ103" s="5" t="n">
        <v>3600</v>
      </c>
      <c r="AR103" s="5" t="n">
        <v>30</v>
      </c>
      <c r="AS103" s="5" t="n">
        <v>179</v>
      </c>
      <c r="AT103" s="28" t="n">
        <v>4.13047</v>
      </c>
      <c r="AU103" s="28" t="s">
        <v>51</v>
      </c>
      <c r="AV103" s="28" t="n">
        <v>10</v>
      </c>
      <c r="AW103" s="28" t="n">
        <v>10</v>
      </c>
      <c r="AX103" s="28" t="n">
        <v>20</v>
      </c>
      <c r="AY103" s="28" t="n">
        <v>94</v>
      </c>
      <c r="AZ103" s="28" t="n">
        <v>208</v>
      </c>
      <c r="BA103" s="28" t="n">
        <v>72</v>
      </c>
      <c r="BB103" s="6" t="n">
        <f aca="false">IF(AU103="Optimal", 1, 0)</f>
        <v>1</v>
      </c>
    </row>
    <row r="104" customFormat="false" ht="12.8" hidden="false" customHeight="false" outlineLevel="0" collapsed="false">
      <c r="A104" s="1" t="n">
        <v>5</v>
      </c>
      <c r="B104" s="23" t="s">
        <v>49</v>
      </c>
      <c r="C104" s="24" t="s">
        <v>156</v>
      </c>
      <c r="D104" s="25" t="n">
        <v>100</v>
      </c>
      <c r="E104" s="25" t="n">
        <v>1470</v>
      </c>
      <c r="F104" s="25" t="n">
        <v>10</v>
      </c>
      <c r="G104" s="25" t="s">
        <v>77</v>
      </c>
      <c r="H104" s="3" t="n">
        <v>0</v>
      </c>
      <c r="I104" s="26" t="s">
        <v>53</v>
      </c>
      <c r="J104" s="26" t="n">
        <f aca="false">IF(I104="tl", 0, 1)</f>
        <v>0</v>
      </c>
      <c r="K104" s="26" t="s">
        <v>53</v>
      </c>
      <c r="L104" s="26" t="n">
        <f aca="false">IF(K104="tl", 0, 1)</f>
        <v>0</v>
      </c>
      <c r="M104" s="26" t="s">
        <v>53</v>
      </c>
      <c r="N104" s="26" t="n">
        <f aca="false">IF(M104="tl", 0, 1)</f>
        <v>0</v>
      </c>
      <c r="P104" s="23" t="n">
        <v>0</v>
      </c>
      <c r="Q104" s="23"/>
      <c r="R104" s="2" t="n">
        <f aca="false">IF(S104=C104, 1, 0)</f>
        <v>1</v>
      </c>
      <c r="S104" s="27" t="s">
        <v>156</v>
      </c>
      <c r="T104" s="1" t="n">
        <v>100</v>
      </c>
      <c r="U104" s="1" t="n">
        <v>1470</v>
      </c>
      <c r="V104" s="3" t="s">
        <v>54</v>
      </c>
      <c r="W104" s="3" t="n">
        <v>91</v>
      </c>
      <c r="X104" s="3" t="n">
        <v>6.1875</v>
      </c>
      <c r="Y104" s="3" t="n">
        <v>1800.02</v>
      </c>
      <c r="Z104" s="3" t="n">
        <v>230.305</v>
      </c>
      <c r="AA104" s="3" t="n">
        <v>9155</v>
      </c>
      <c r="AB104" s="3" t="n">
        <v>11</v>
      </c>
      <c r="AC104" s="3" t="n">
        <v>5980</v>
      </c>
      <c r="AD104" s="3" t="n">
        <v>10391</v>
      </c>
      <c r="AE104" s="3" t="n">
        <v>8</v>
      </c>
      <c r="AF104" s="3" t="n">
        <v>0</v>
      </c>
      <c r="AG104" s="3" t="n">
        <v>5</v>
      </c>
      <c r="AH104" s="3" t="n">
        <v>4.08163</v>
      </c>
      <c r="AI104" s="3" t="n">
        <v>91</v>
      </c>
      <c r="AJ104" s="2" t="n">
        <f aca="false">IF(V104="Optimal", 1, 0)</f>
        <v>0</v>
      </c>
      <c r="AK104" s="29" t="b">
        <f aca="false">IF(AJ104=1, W104-G104)</f>
        <v>0</v>
      </c>
      <c r="AL104" s="4" t="n">
        <f aca="false">IF(AND(AH104&lt;&gt;-1, G104&lt;&gt;"-", G104&lt;&gt;"."), ((G104-AH104)/G104)*100, -1)</f>
        <v>-1</v>
      </c>
      <c r="AN104" s="5" t="n">
        <f aca="false">IF(AND(AO104=C104, A104=AP104), 1, 0)</f>
        <v>1</v>
      </c>
      <c r="AO104" s="5" t="s">
        <v>156</v>
      </c>
      <c r="AP104" s="5" t="n">
        <v>5</v>
      </c>
      <c r="AQ104" s="5" t="n">
        <v>3600</v>
      </c>
      <c r="AR104" s="5" t="n">
        <v>100</v>
      </c>
      <c r="AS104" s="5" t="n">
        <v>1470</v>
      </c>
      <c r="AT104" s="28" t="n">
        <v>3600</v>
      </c>
      <c r="AU104" s="28" t="s">
        <v>54</v>
      </c>
      <c r="AV104" s="28" t="n">
        <v>81.8469</v>
      </c>
      <c r="AW104" s="28" t="n">
        <v>30</v>
      </c>
      <c r="AX104" s="28" t="n">
        <v>70</v>
      </c>
      <c r="AY104" s="28" t="n">
        <v>400</v>
      </c>
      <c r="AZ104" s="28" t="n">
        <v>9678</v>
      </c>
      <c r="BA104" s="28" t="n">
        <v>89416</v>
      </c>
      <c r="BB104" s="6" t="n">
        <f aca="false">IF(AU104="Optimal", 1, 0)</f>
        <v>0</v>
      </c>
    </row>
    <row r="105" customFormat="false" ht="12.8" hidden="false" customHeight="false" outlineLevel="0" collapsed="false">
      <c r="A105" s="1" t="n">
        <v>5</v>
      </c>
      <c r="B105" s="23" t="s">
        <v>49</v>
      </c>
      <c r="C105" s="24" t="s">
        <v>157</v>
      </c>
      <c r="D105" s="25" t="n">
        <v>121</v>
      </c>
      <c r="E105" s="25" t="n">
        <v>1980</v>
      </c>
      <c r="F105" s="25" t="n">
        <v>11</v>
      </c>
      <c r="G105" s="25" t="s">
        <v>77</v>
      </c>
      <c r="H105" s="3" t="n">
        <v>0</v>
      </c>
      <c r="I105" s="26" t="s">
        <v>53</v>
      </c>
      <c r="J105" s="26" t="n">
        <f aca="false">IF(I105="tl", 0, 1)</f>
        <v>0</v>
      </c>
      <c r="K105" s="26" t="s">
        <v>53</v>
      </c>
      <c r="L105" s="26" t="n">
        <f aca="false">IF(K105="tl", 0, 1)</f>
        <v>0</v>
      </c>
      <c r="M105" s="26" t="s">
        <v>53</v>
      </c>
      <c r="N105" s="26" t="n">
        <f aca="false">IF(M105="tl", 0, 1)</f>
        <v>0</v>
      </c>
      <c r="P105" s="23" t="n">
        <v>0</v>
      </c>
      <c r="Q105" s="23"/>
      <c r="R105" s="2" t="n">
        <f aca="false">IF(S105=C105, 1, 0)</f>
        <v>1</v>
      </c>
      <c r="S105" s="27" t="s">
        <v>157</v>
      </c>
      <c r="T105" s="1" t="n">
        <v>121</v>
      </c>
      <c r="U105" s="1" t="n">
        <v>1980</v>
      </c>
      <c r="V105" s="3" t="s">
        <v>54</v>
      </c>
      <c r="W105" s="3" t="n">
        <v>113</v>
      </c>
      <c r="X105" s="3" t="n">
        <v>6</v>
      </c>
      <c r="Y105" s="3" t="n">
        <v>1800.2</v>
      </c>
      <c r="Z105" s="3" t="n">
        <v>176.558</v>
      </c>
      <c r="AA105" s="3" t="n">
        <v>4825</v>
      </c>
      <c r="AB105" s="3" t="n">
        <v>11</v>
      </c>
      <c r="AC105" s="3" t="n">
        <v>8041</v>
      </c>
      <c r="AD105" s="3" t="n">
        <v>13982</v>
      </c>
      <c r="AE105" s="3" t="n">
        <v>16</v>
      </c>
      <c r="AF105" s="3" t="n">
        <v>0</v>
      </c>
      <c r="AG105" s="3" t="n">
        <v>5</v>
      </c>
      <c r="AH105" s="3" t="n">
        <v>4.06723</v>
      </c>
      <c r="AI105" s="3" t="n">
        <v>113</v>
      </c>
      <c r="AJ105" s="2" t="n">
        <f aca="false">IF(V105="Optimal", 1, 0)</f>
        <v>0</v>
      </c>
      <c r="AK105" s="29" t="b">
        <f aca="false">IF(AJ105=1, W105-G105)</f>
        <v>0</v>
      </c>
      <c r="AL105" s="4" t="n">
        <f aca="false">IF(AND(AH105&lt;&gt;-1, G105&lt;&gt;"-", G105&lt;&gt;"."), ((G105-AH105)/G105)*100, -1)</f>
        <v>-1</v>
      </c>
      <c r="AN105" s="5" t="n">
        <f aca="false">IF(AND(AO105=C105, A105=AP105), 1, 0)</f>
        <v>1</v>
      </c>
      <c r="AO105" s="5" t="s">
        <v>157</v>
      </c>
      <c r="AP105" s="5" t="n">
        <v>5</v>
      </c>
      <c r="AQ105" s="5" t="n">
        <v>3600</v>
      </c>
      <c r="AR105" s="5" t="n">
        <v>121</v>
      </c>
      <c r="AS105" s="5" t="n">
        <v>1980</v>
      </c>
      <c r="AT105" s="28" t="n">
        <v>3600</v>
      </c>
      <c r="AU105" s="28" t="s">
        <v>54</v>
      </c>
      <c r="AV105" s="28" t="n">
        <v>109.558</v>
      </c>
      <c r="AW105" s="28" t="n">
        <v>40</v>
      </c>
      <c r="AX105" s="28" t="n">
        <v>81</v>
      </c>
      <c r="AY105" s="28" t="n">
        <v>495</v>
      </c>
      <c r="AZ105" s="28" t="n">
        <v>9545</v>
      </c>
      <c r="BA105" s="28" t="n">
        <v>25069</v>
      </c>
      <c r="BB105" s="6" t="n">
        <f aca="false">IF(AU105="Optimal", 1, 0)</f>
        <v>0</v>
      </c>
    </row>
    <row r="106" customFormat="false" ht="12.8" hidden="false" customHeight="false" outlineLevel="0" collapsed="false">
      <c r="A106" s="1" t="n">
        <v>5</v>
      </c>
      <c r="B106" s="23" t="s">
        <v>49</v>
      </c>
      <c r="C106" s="24" t="s">
        <v>158</v>
      </c>
      <c r="D106" s="25" t="n">
        <v>144</v>
      </c>
      <c r="E106" s="25" t="n">
        <v>2596</v>
      </c>
      <c r="F106" s="25" t="n">
        <v>12</v>
      </c>
      <c r="G106" s="25" t="s">
        <v>77</v>
      </c>
      <c r="H106" s="3" t="n">
        <v>0</v>
      </c>
      <c r="I106" s="26" t="s">
        <v>53</v>
      </c>
      <c r="J106" s="26" t="n">
        <f aca="false">IF(I106="tl", 0, 1)</f>
        <v>0</v>
      </c>
      <c r="K106" s="26" t="s">
        <v>53</v>
      </c>
      <c r="L106" s="26" t="n">
        <f aca="false">IF(K106="tl", 0, 1)</f>
        <v>0</v>
      </c>
      <c r="M106" s="26" t="s">
        <v>53</v>
      </c>
      <c r="N106" s="26" t="n">
        <f aca="false">IF(M106="tl", 0, 1)</f>
        <v>0</v>
      </c>
      <c r="P106" s="23" t="n">
        <v>0</v>
      </c>
      <c r="Q106" s="23"/>
      <c r="R106" s="2" t="n">
        <f aca="false">IF(S106=C106, 1, 0)</f>
        <v>1</v>
      </c>
      <c r="S106" s="27" t="s">
        <v>158</v>
      </c>
      <c r="T106" s="1" t="n">
        <v>144</v>
      </c>
      <c r="U106" s="1" t="n">
        <v>2596</v>
      </c>
      <c r="V106" s="3" t="s">
        <v>54</v>
      </c>
      <c r="W106" s="3" t="n">
        <v>131</v>
      </c>
      <c r="X106" s="3" t="n">
        <v>5.72</v>
      </c>
      <c r="Y106" s="3" t="n">
        <v>1800</v>
      </c>
      <c r="Z106" s="3" t="n">
        <v>214.863</v>
      </c>
      <c r="AA106" s="3" t="n">
        <v>5155</v>
      </c>
      <c r="AB106" s="3" t="n">
        <v>11</v>
      </c>
      <c r="AC106" s="3" t="n">
        <v>10528</v>
      </c>
      <c r="AD106" s="3" t="n">
        <v>18317</v>
      </c>
      <c r="AE106" s="3" t="n">
        <v>3</v>
      </c>
      <c r="AF106" s="3" t="n">
        <v>0</v>
      </c>
      <c r="AG106" s="3" t="n">
        <v>5</v>
      </c>
      <c r="AH106" s="3" t="n">
        <v>4.05634</v>
      </c>
      <c r="AI106" s="3" t="n">
        <v>131</v>
      </c>
      <c r="AJ106" s="2" t="n">
        <f aca="false">IF(V106="Optimal", 1, 0)</f>
        <v>0</v>
      </c>
      <c r="AK106" s="29" t="b">
        <f aca="false">IF(AJ106=1, W106-G106)</f>
        <v>0</v>
      </c>
      <c r="AL106" s="4" t="n">
        <f aca="false">IF(AND(AH106&lt;&gt;-1, G106&lt;&gt;"-", G106&lt;&gt;"."), ((G106-AH106)/G106)*100, -1)</f>
        <v>-1</v>
      </c>
      <c r="AN106" s="5" t="n">
        <f aca="false">IF(AND(AO106=C106, A106=AP106), 1, 0)</f>
        <v>1</v>
      </c>
      <c r="AO106" s="5" t="s">
        <v>158</v>
      </c>
      <c r="AP106" s="5" t="n">
        <v>5</v>
      </c>
      <c r="AQ106" s="5" t="n">
        <v>3600</v>
      </c>
      <c r="AR106" s="5" t="n">
        <v>144</v>
      </c>
      <c r="AS106" s="5" t="n">
        <v>2596</v>
      </c>
      <c r="AT106" s="28" t="n">
        <v>3600</v>
      </c>
      <c r="AU106" s="28" t="s">
        <v>54</v>
      </c>
      <c r="AV106" s="28" t="n">
        <v>133.637</v>
      </c>
      <c r="AW106" s="28" t="n">
        <v>49</v>
      </c>
      <c r="AX106" s="28" t="n">
        <v>95</v>
      </c>
      <c r="AY106" s="28" t="n">
        <v>600</v>
      </c>
      <c r="AZ106" s="28" t="n">
        <v>11271</v>
      </c>
      <c r="BA106" s="28" t="n">
        <v>6202</v>
      </c>
      <c r="BB106" s="6" t="n">
        <f aca="false">IF(AU106="Optimal", 1, 0)</f>
        <v>0</v>
      </c>
    </row>
    <row r="107" customFormat="false" ht="12.8" hidden="false" customHeight="false" outlineLevel="0" collapsed="false">
      <c r="A107" s="1" t="n">
        <v>5</v>
      </c>
      <c r="B107" s="23" t="s">
        <v>49</v>
      </c>
      <c r="C107" s="24" t="s">
        <v>159</v>
      </c>
      <c r="D107" s="25" t="n">
        <v>169</v>
      </c>
      <c r="E107" s="25" t="n">
        <v>3328</v>
      </c>
      <c r="F107" s="25" t="n">
        <v>13</v>
      </c>
      <c r="G107" s="25" t="s">
        <v>77</v>
      </c>
      <c r="H107" s="3" t="n">
        <v>0</v>
      </c>
      <c r="I107" s="26" t="s">
        <v>53</v>
      </c>
      <c r="J107" s="26" t="n">
        <f aca="false">IF(I107="tl", 0, 1)</f>
        <v>0</v>
      </c>
      <c r="K107" s="26" t="s">
        <v>53</v>
      </c>
      <c r="L107" s="26" t="n">
        <f aca="false">IF(K107="tl", 0, 1)</f>
        <v>0</v>
      </c>
      <c r="M107" s="26" t="s">
        <v>53</v>
      </c>
      <c r="N107" s="26" t="n">
        <f aca="false">IF(M107="tl", 0, 1)</f>
        <v>0</v>
      </c>
      <c r="P107" s="23" t="n">
        <v>0</v>
      </c>
      <c r="Q107" s="23"/>
      <c r="R107" s="2" t="n">
        <f aca="false">IF(S107=C107, 1, 0)</f>
        <v>1</v>
      </c>
      <c r="S107" s="27" t="s">
        <v>159</v>
      </c>
      <c r="T107" s="1" t="n">
        <v>169</v>
      </c>
      <c r="U107" s="1" t="n">
        <v>3328</v>
      </c>
      <c r="V107" s="3" t="s">
        <v>54</v>
      </c>
      <c r="W107" s="3" t="n">
        <v>157</v>
      </c>
      <c r="X107" s="3" t="n">
        <v>5.6</v>
      </c>
      <c r="Y107" s="3" t="n">
        <v>1800.26</v>
      </c>
      <c r="Z107" s="3" t="n">
        <v>390.353</v>
      </c>
      <c r="AA107" s="3" t="n">
        <v>6959</v>
      </c>
      <c r="AB107" s="3" t="n">
        <v>11</v>
      </c>
      <c r="AC107" s="3" t="n">
        <v>13481</v>
      </c>
      <c r="AD107" s="3" t="n">
        <v>23466</v>
      </c>
      <c r="AE107" s="3" t="n">
        <v>3</v>
      </c>
      <c r="AF107" s="3" t="n">
        <v>0</v>
      </c>
      <c r="AG107" s="3" t="n">
        <v>5</v>
      </c>
      <c r="AH107" s="3" t="n">
        <v>4.0479</v>
      </c>
      <c r="AI107" s="3" t="n">
        <v>157</v>
      </c>
      <c r="AJ107" s="2" t="n">
        <f aca="false">IF(V107="Optimal", 1, 0)</f>
        <v>0</v>
      </c>
      <c r="AK107" s="29" t="b">
        <f aca="false">IF(AJ107=1, W107-G107)</f>
        <v>0</v>
      </c>
      <c r="AL107" s="4" t="n">
        <f aca="false">IF(AND(AH107&lt;&gt;-1, G107&lt;&gt;"-", G107&lt;&gt;"."), ((G107-AH107)/G107)*100, -1)</f>
        <v>-1</v>
      </c>
      <c r="AN107" s="5" t="n">
        <f aca="false">IF(AND(AO107=C107, A107=AP107), 1, 0)</f>
        <v>1</v>
      </c>
      <c r="AO107" s="5" t="s">
        <v>159</v>
      </c>
      <c r="AP107" s="5" t="n">
        <v>5</v>
      </c>
      <c r="AQ107" s="5" t="n">
        <v>3600</v>
      </c>
      <c r="AR107" s="5" t="n">
        <v>169</v>
      </c>
      <c r="AS107" s="5" t="n">
        <v>3328</v>
      </c>
      <c r="AT107" s="28" t="n">
        <v>3600</v>
      </c>
      <c r="AU107" s="28" t="s">
        <v>54</v>
      </c>
      <c r="AV107" s="28" t="n">
        <v>160.346</v>
      </c>
      <c r="AW107" s="28" t="n">
        <v>63</v>
      </c>
      <c r="AX107" s="28" t="n">
        <v>106</v>
      </c>
      <c r="AY107" s="28" t="n">
        <v>715</v>
      </c>
      <c r="AZ107" s="28" t="n">
        <v>14997</v>
      </c>
      <c r="BA107" s="28" t="n">
        <v>416</v>
      </c>
      <c r="BB107" s="6" t="n">
        <f aca="false">IF(AU107="Optimal", 1, 0)</f>
        <v>0</v>
      </c>
    </row>
    <row r="108" customFormat="false" ht="12.8" hidden="false" customHeight="false" outlineLevel="0" collapsed="false">
      <c r="A108" s="1" t="n">
        <v>5</v>
      </c>
      <c r="B108" s="23" t="s">
        <v>49</v>
      </c>
      <c r="C108" s="24" t="s">
        <v>160</v>
      </c>
      <c r="D108" s="25" t="n">
        <v>196</v>
      </c>
      <c r="E108" s="25" t="n">
        <v>4186</v>
      </c>
      <c r="F108" s="25" t="n">
        <v>14</v>
      </c>
      <c r="G108" s="25" t="s">
        <v>77</v>
      </c>
      <c r="H108" s="3" t="n">
        <v>0</v>
      </c>
      <c r="I108" s="26" t="s">
        <v>53</v>
      </c>
      <c r="J108" s="26" t="n">
        <f aca="false">IF(I108="tl", 0, 1)</f>
        <v>0</v>
      </c>
      <c r="K108" s="26" t="s">
        <v>53</v>
      </c>
      <c r="L108" s="26" t="n">
        <f aca="false">IF(K108="tl", 0, 1)</f>
        <v>0</v>
      </c>
      <c r="M108" s="26" t="s">
        <v>53</v>
      </c>
      <c r="N108" s="26" t="n">
        <f aca="false">IF(M108="tl", 0, 1)</f>
        <v>0</v>
      </c>
      <c r="P108" s="23" t="n">
        <v>0</v>
      </c>
      <c r="Q108" s="23"/>
      <c r="R108" s="2" t="n">
        <f aca="false">IF(S108=C108, 1, 0)</f>
        <v>1</v>
      </c>
      <c r="S108" s="27" t="s">
        <v>160</v>
      </c>
      <c r="T108" s="1" t="n">
        <v>196</v>
      </c>
      <c r="U108" s="1" t="n">
        <v>4186</v>
      </c>
      <c r="V108" s="3" t="s">
        <v>54</v>
      </c>
      <c r="W108" s="3" t="n">
        <v>183</v>
      </c>
      <c r="X108" s="3" t="n">
        <v>5.41667</v>
      </c>
      <c r="Y108" s="3" t="n">
        <v>1800.08</v>
      </c>
      <c r="Z108" s="3" t="n">
        <v>586.808</v>
      </c>
      <c r="AA108" s="3" t="n">
        <v>6742</v>
      </c>
      <c r="AB108" s="3" t="n">
        <v>11</v>
      </c>
      <c r="AC108" s="3" t="n">
        <v>16940</v>
      </c>
      <c r="AD108" s="3" t="n">
        <v>29499</v>
      </c>
      <c r="AE108" s="3" t="n">
        <v>8</v>
      </c>
      <c r="AF108" s="3" t="n">
        <v>0</v>
      </c>
      <c r="AG108" s="3" t="n">
        <v>5</v>
      </c>
      <c r="AH108" s="3" t="n">
        <v>4.04124</v>
      </c>
      <c r="AI108" s="3" t="n">
        <v>183</v>
      </c>
      <c r="AJ108" s="2" t="n">
        <f aca="false">IF(V108="Optimal", 1, 0)</f>
        <v>0</v>
      </c>
      <c r="AK108" s="29" t="b">
        <f aca="false">IF(AJ108=1, W108-G108)</f>
        <v>0</v>
      </c>
      <c r="AL108" s="4" t="n">
        <f aca="false">IF(AND(AH108&lt;&gt;-1, G108&lt;&gt;"-", G108&lt;&gt;"."), ((G108-AH108)/G108)*100, -1)</f>
        <v>-1</v>
      </c>
      <c r="AN108" s="5" t="n">
        <f aca="false">IF(AND(AO108=C108, A108=AP108), 1, 0)</f>
        <v>1</v>
      </c>
      <c r="AO108" s="5" t="s">
        <v>160</v>
      </c>
      <c r="AP108" s="5" t="n">
        <v>5</v>
      </c>
      <c r="AQ108" s="5" t="n">
        <v>3600</v>
      </c>
      <c r="AR108" s="5" t="n">
        <v>196</v>
      </c>
      <c r="AS108" s="5" t="n">
        <v>4186</v>
      </c>
      <c r="AT108" s="28" t="n">
        <v>3600</v>
      </c>
      <c r="AU108" s="28" t="s">
        <v>54</v>
      </c>
      <c r="AV108" s="28" t="n">
        <v>189.08</v>
      </c>
      <c r="AW108" s="28" t="n">
        <v>75</v>
      </c>
      <c r="AX108" s="28" t="n">
        <v>121</v>
      </c>
      <c r="AY108" s="28" t="n">
        <v>840</v>
      </c>
      <c r="AZ108" s="28" t="n">
        <v>18150</v>
      </c>
      <c r="BA108" s="28" t="n">
        <v>368</v>
      </c>
      <c r="BB108" s="6" t="n">
        <f aca="false">IF(AU108="Optimal", 1, 0)</f>
        <v>0</v>
      </c>
    </row>
    <row r="109" customFormat="false" ht="12.8" hidden="false" customHeight="false" outlineLevel="0" collapsed="false">
      <c r="A109" s="1" t="n">
        <v>5</v>
      </c>
      <c r="B109" s="23" t="s">
        <v>49</v>
      </c>
      <c r="C109" s="24" t="s">
        <v>161</v>
      </c>
      <c r="D109" s="25" t="n">
        <v>25</v>
      </c>
      <c r="E109" s="25" t="n">
        <v>160</v>
      </c>
      <c r="F109" s="25" t="n">
        <v>5</v>
      </c>
      <c r="G109" s="25" t="n">
        <v>20</v>
      </c>
      <c r="H109" s="3" t="n">
        <v>1</v>
      </c>
      <c r="I109" s="26" t="n">
        <v>0.01</v>
      </c>
      <c r="J109" s="26" t="n">
        <f aca="false">IF(I109="tl", 0, 1)</f>
        <v>1</v>
      </c>
      <c r="K109" s="26" t="n">
        <v>0.09</v>
      </c>
      <c r="L109" s="26" t="n">
        <f aca="false">IF(K109="tl", 0, 1)</f>
        <v>1</v>
      </c>
      <c r="M109" s="26" t="n">
        <v>0.02</v>
      </c>
      <c r="N109" s="26" t="n">
        <f aca="false">IF(M109="tl", 0, 1)</f>
        <v>1</v>
      </c>
      <c r="P109" s="23" t="n">
        <v>0</v>
      </c>
      <c r="Q109" s="23"/>
      <c r="R109" s="2" t="n">
        <f aca="false">IF(S109=C109, 1, 0)</f>
        <v>1</v>
      </c>
      <c r="S109" s="27" t="s">
        <v>161</v>
      </c>
      <c r="T109" s="1" t="n">
        <v>25</v>
      </c>
      <c r="U109" s="1" t="n">
        <v>160</v>
      </c>
      <c r="V109" s="3" t="s">
        <v>51</v>
      </c>
      <c r="W109" s="3" t="n">
        <v>20</v>
      </c>
      <c r="X109" s="3" t="n">
        <v>20</v>
      </c>
      <c r="Y109" s="3" t="n">
        <v>5.57245</v>
      </c>
      <c r="Z109" s="3" t="n">
        <v>3.64438</v>
      </c>
      <c r="AA109" s="3" t="n">
        <v>318</v>
      </c>
      <c r="AB109" s="3" t="n">
        <v>99</v>
      </c>
      <c r="AC109" s="3" t="n">
        <v>665</v>
      </c>
      <c r="AD109" s="3" t="n">
        <v>1146</v>
      </c>
      <c r="AE109" s="3" t="n">
        <v>1</v>
      </c>
      <c r="AF109" s="3" t="n">
        <v>4</v>
      </c>
      <c r="AG109" s="3" t="n">
        <v>15</v>
      </c>
      <c r="AH109" s="3" t="n">
        <v>4.34783</v>
      </c>
      <c r="AI109" s="3" t="n">
        <v>20</v>
      </c>
      <c r="AJ109" s="2" t="n">
        <f aca="false">IF(V109="Optimal", 1, 0)</f>
        <v>1</v>
      </c>
      <c r="AK109" s="3" t="n">
        <f aca="false">IF(AJ109=1, W109-G109)</f>
        <v>0</v>
      </c>
      <c r="AL109" s="4" t="n">
        <f aca="false">IF(AND(AH109&lt;&gt;-1, G109&lt;&gt;"-", G109&lt;&gt;"."), ((G109-AH109)/G109)*100, -1)</f>
        <v>78.26085</v>
      </c>
      <c r="AN109" s="5" t="n">
        <f aca="false">IF(AND(AO109=C109, A109=AP109), 1, 0)</f>
        <v>1</v>
      </c>
      <c r="AO109" s="5" t="s">
        <v>161</v>
      </c>
      <c r="AP109" s="5" t="n">
        <v>5</v>
      </c>
      <c r="AQ109" s="5" t="n">
        <v>3600</v>
      </c>
      <c r="AR109" s="5" t="n">
        <v>25</v>
      </c>
      <c r="AS109" s="5" t="n">
        <v>160</v>
      </c>
      <c r="AT109" s="28" t="n">
        <v>0.124086</v>
      </c>
      <c r="AU109" s="28" t="s">
        <v>51</v>
      </c>
      <c r="AV109" s="28" t="n">
        <v>5</v>
      </c>
      <c r="AW109" s="28" t="n">
        <v>5</v>
      </c>
      <c r="AX109" s="28" t="n">
        <v>20</v>
      </c>
      <c r="AY109" s="28" t="n">
        <v>25</v>
      </c>
      <c r="AZ109" s="28" t="n">
        <v>125</v>
      </c>
      <c r="BA109" s="28" t="n">
        <v>1</v>
      </c>
      <c r="BB109" s="6" t="n">
        <f aca="false">IF(AU109="Optimal", 1, 0)</f>
        <v>1</v>
      </c>
    </row>
    <row r="110" customFormat="false" ht="12.8" hidden="false" customHeight="false" outlineLevel="0" collapsed="false">
      <c r="A110" s="1" t="n">
        <v>5</v>
      </c>
      <c r="B110" s="23" t="s">
        <v>49</v>
      </c>
      <c r="C110" s="24" t="s">
        <v>162</v>
      </c>
      <c r="D110" s="25" t="n">
        <v>36</v>
      </c>
      <c r="E110" s="25" t="n">
        <v>290</v>
      </c>
      <c r="F110" s="25" t="n">
        <v>6</v>
      </c>
      <c r="G110" s="25" t="n">
        <v>28</v>
      </c>
      <c r="H110" s="3" t="n">
        <v>1</v>
      </c>
      <c r="I110" s="26" t="n">
        <v>1.38</v>
      </c>
      <c r="J110" s="26" t="n">
        <f aca="false">IF(I110="tl", 0, 1)</f>
        <v>1</v>
      </c>
      <c r="K110" s="26" t="n">
        <v>4.4</v>
      </c>
      <c r="L110" s="26" t="n">
        <f aca="false">IF(K110="tl", 0, 1)</f>
        <v>1</v>
      </c>
      <c r="M110" s="26" t="n">
        <v>2.29</v>
      </c>
      <c r="N110" s="26" t="n">
        <f aca="false">IF(M110="tl", 0, 1)</f>
        <v>1</v>
      </c>
      <c r="P110" s="23" t="n">
        <v>0</v>
      </c>
      <c r="Q110" s="23"/>
      <c r="R110" s="2" t="n">
        <f aca="false">IF(S110=C110, 1, 0)</f>
        <v>1</v>
      </c>
      <c r="S110" s="27" t="s">
        <v>162</v>
      </c>
      <c r="T110" s="1" t="n">
        <v>36</v>
      </c>
      <c r="U110" s="1" t="n">
        <v>290</v>
      </c>
      <c r="V110" s="3" t="s">
        <v>51</v>
      </c>
      <c r="W110" s="3" t="n">
        <v>28</v>
      </c>
      <c r="X110" s="3" t="n">
        <v>28</v>
      </c>
      <c r="Y110" s="3" t="n">
        <v>912.92</v>
      </c>
      <c r="Z110" s="3" t="n">
        <v>755.627</v>
      </c>
      <c r="AA110" s="3" t="n">
        <v>7345</v>
      </c>
      <c r="AB110" s="3" t="n">
        <v>1229</v>
      </c>
      <c r="AC110" s="3" t="n">
        <v>1196</v>
      </c>
      <c r="AD110" s="3" t="n">
        <v>2067</v>
      </c>
      <c r="AE110" s="3" t="n">
        <v>2</v>
      </c>
      <c r="AF110" s="3" t="n">
        <v>136</v>
      </c>
      <c r="AG110" s="3" t="n">
        <v>23</v>
      </c>
      <c r="AH110" s="3" t="n">
        <v>4.23529</v>
      </c>
      <c r="AI110" s="3" t="n">
        <v>30</v>
      </c>
      <c r="AJ110" s="2" t="n">
        <f aca="false">IF(V110="Optimal", 1, 0)</f>
        <v>1</v>
      </c>
      <c r="AK110" s="3" t="n">
        <f aca="false">IF(AJ110=1, W110-G110)</f>
        <v>0</v>
      </c>
      <c r="AL110" s="4" t="n">
        <f aca="false">IF(AND(AH110&lt;&gt;-1, G110&lt;&gt;"-", G110&lt;&gt;"."), ((G110-AH110)/G110)*100, -1)</f>
        <v>84.8739642857143</v>
      </c>
      <c r="AN110" s="5" t="n">
        <f aca="false">IF(AND(AO110=C110, A110=AP110), 1, 0)</f>
        <v>1</v>
      </c>
      <c r="AO110" s="5" t="s">
        <v>162</v>
      </c>
      <c r="AP110" s="5" t="n">
        <v>5</v>
      </c>
      <c r="AQ110" s="5" t="n">
        <v>3600</v>
      </c>
      <c r="AR110" s="5" t="n">
        <v>36</v>
      </c>
      <c r="AS110" s="5" t="n">
        <v>290</v>
      </c>
      <c r="AT110" s="28" t="n">
        <v>13.2689</v>
      </c>
      <c r="AU110" s="28" t="s">
        <v>51</v>
      </c>
      <c r="AV110" s="28" t="n">
        <v>8</v>
      </c>
      <c r="AW110" s="28" t="n">
        <v>8</v>
      </c>
      <c r="AX110" s="28" t="n">
        <v>28</v>
      </c>
      <c r="AY110" s="28" t="n">
        <v>120</v>
      </c>
      <c r="AZ110" s="28" t="n">
        <v>510</v>
      </c>
      <c r="BA110" s="28" t="n">
        <v>683</v>
      </c>
      <c r="BB110" s="6" t="n">
        <f aca="false">IF(AU110="Optimal", 1, 0)</f>
        <v>1</v>
      </c>
    </row>
    <row r="111" customFormat="false" ht="12.8" hidden="false" customHeight="false" outlineLevel="0" collapsed="false">
      <c r="A111" s="1" t="n">
        <v>5</v>
      </c>
      <c r="B111" s="23" t="s">
        <v>49</v>
      </c>
      <c r="C111" s="24" t="s">
        <v>163</v>
      </c>
      <c r="D111" s="25" t="n">
        <v>49</v>
      </c>
      <c r="E111" s="25" t="n">
        <v>476</v>
      </c>
      <c r="F111" s="25" t="n">
        <v>7</v>
      </c>
      <c r="G111" s="25" t="n">
        <v>38</v>
      </c>
      <c r="H111" s="3" t="n">
        <v>1</v>
      </c>
      <c r="I111" s="26" t="n">
        <v>25.63</v>
      </c>
      <c r="J111" s="26" t="n">
        <f aca="false">IF(I111="tl", 0, 1)</f>
        <v>1</v>
      </c>
      <c r="K111" s="26" t="n">
        <v>1338.27</v>
      </c>
      <c r="L111" s="26" t="n">
        <f aca="false">IF(K111="tl", 0, 1)</f>
        <v>1</v>
      </c>
      <c r="M111" s="26" t="s">
        <v>53</v>
      </c>
      <c r="N111" s="26" t="n">
        <f aca="false">IF(M111="tl", 0, 1)</f>
        <v>0</v>
      </c>
      <c r="P111" s="23" t="n">
        <v>0</v>
      </c>
      <c r="Q111" s="23"/>
      <c r="R111" s="2" t="n">
        <f aca="false">IF(S111=C111, 1, 0)</f>
        <v>1</v>
      </c>
      <c r="S111" s="27" t="s">
        <v>163</v>
      </c>
      <c r="T111" s="1" t="n">
        <v>49</v>
      </c>
      <c r="U111" s="1" t="n">
        <v>476</v>
      </c>
      <c r="V111" s="3" t="s">
        <v>54</v>
      </c>
      <c r="W111" s="3" t="n">
        <v>42</v>
      </c>
      <c r="X111" s="3" t="n">
        <v>5.17391</v>
      </c>
      <c r="Y111" s="3" t="n">
        <v>1800.01</v>
      </c>
      <c r="Z111" s="3" t="n">
        <v>626.657</v>
      </c>
      <c r="AA111" s="3" t="n">
        <v>26621</v>
      </c>
      <c r="AB111" s="3" t="n">
        <v>17</v>
      </c>
      <c r="AC111" s="3" t="n">
        <v>1953</v>
      </c>
      <c r="AD111" s="3" t="n">
        <v>3382</v>
      </c>
      <c r="AE111" s="3" t="n">
        <v>4</v>
      </c>
      <c r="AF111" s="3" t="n">
        <v>61</v>
      </c>
      <c r="AG111" s="3" t="n">
        <v>9</v>
      </c>
      <c r="AH111" s="3" t="n">
        <v>4.17021</v>
      </c>
      <c r="AI111" s="3" t="n">
        <v>42</v>
      </c>
      <c r="AJ111" s="2" t="n">
        <f aca="false">IF(V111="Optimal", 1, 0)</f>
        <v>0</v>
      </c>
      <c r="AK111" s="29" t="b">
        <f aca="false">IF(AJ111=1, W111-G111)</f>
        <v>0</v>
      </c>
      <c r="AL111" s="4" t="n">
        <f aca="false">IF(AND(AH111&lt;&gt;-1, G111&lt;&gt;"-", G111&lt;&gt;"."), ((G111-AH111)/G111)*100, -1)</f>
        <v>89.0257631578947</v>
      </c>
      <c r="AN111" s="5" t="n">
        <f aca="false">IF(AND(AO111=C111, A111=AP111), 1, 0)</f>
        <v>1</v>
      </c>
      <c r="AO111" s="5" t="s">
        <v>163</v>
      </c>
      <c r="AP111" s="5" t="n">
        <v>5</v>
      </c>
      <c r="AQ111" s="5" t="n">
        <v>3600</v>
      </c>
      <c r="AR111" s="5" t="n">
        <v>49</v>
      </c>
      <c r="AS111" s="5" t="n">
        <v>476</v>
      </c>
      <c r="AT111" s="28" t="n">
        <v>236.126</v>
      </c>
      <c r="AU111" s="28" t="s">
        <v>51</v>
      </c>
      <c r="AV111" s="28" t="n">
        <v>11</v>
      </c>
      <c r="AW111" s="28" t="n">
        <v>11</v>
      </c>
      <c r="AX111" s="28" t="n">
        <v>38</v>
      </c>
      <c r="AY111" s="28" t="n">
        <v>175</v>
      </c>
      <c r="AZ111" s="28" t="n">
        <v>3611</v>
      </c>
      <c r="BA111" s="28" t="n">
        <v>16079</v>
      </c>
      <c r="BB111" s="6" t="n">
        <f aca="false">IF(AU111="Optimal", 1, 0)</f>
        <v>1</v>
      </c>
    </row>
    <row r="112" customFormat="false" ht="12.8" hidden="false" customHeight="false" outlineLevel="0" collapsed="false">
      <c r="A112" s="1" t="n">
        <v>5</v>
      </c>
      <c r="B112" s="23" t="s">
        <v>49</v>
      </c>
      <c r="C112" s="24" t="s">
        <v>164</v>
      </c>
      <c r="D112" s="25" t="n">
        <v>96</v>
      </c>
      <c r="E112" s="25" t="n">
        <v>1368</v>
      </c>
      <c r="F112" s="25" t="n">
        <v>8</v>
      </c>
      <c r="G112" s="25" t="s">
        <v>77</v>
      </c>
      <c r="H112" s="3" t="n">
        <v>0</v>
      </c>
      <c r="I112" s="26" t="s">
        <v>53</v>
      </c>
      <c r="J112" s="26" t="n">
        <f aca="false">IF(I112="tl", 0, 1)</f>
        <v>0</v>
      </c>
      <c r="K112" s="26" t="s">
        <v>53</v>
      </c>
      <c r="L112" s="26" t="n">
        <f aca="false">IF(K112="tl", 0, 1)</f>
        <v>0</v>
      </c>
      <c r="M112" s="26" t="s">
        <v>53</v>
      </c>
      <c r="N112" s="26" t="n">
        <f aca="false">IF(M112="tl", 0, 1)</f>
        <v>0</v>
      </c>
      <c r="P112" s="23" t="n">
        <v>0</v>
      </c>
      <c r="Q112" s="23"/>
      <c r="R112" s="2" t="n">
        <f aca="false">IF(S112=C112, 1, 0)</f>
        <v>1</v>
      </c>
      <c r="S112" s="27" t="s">
        <v>164</v>
      </c>
      <c r="T112" s="1" t="n">
        <v>96</v>
      </c>
      <c r="U112" s="1" t="n">
        <v>1368</v>
      </c>
      <c r="V112" s="3" t="s">
        <v>54</v>
      </c>
      <c r="W112" s="3" t="n">
        <v>89</v>
      </c>
      <c r="X112" s="3" t="n">
        <v>6.03175</v>
      </c>
      <c r="Y112" s="3" t="n">
        <v>1800.03</v>
      </c>
      <c r="Z112" s="3" t="n">
        <v>175.466</v>
      </c>
      <c r="AA112" s="3" t="n">
        <v>9042</v>
      </c>
      <c r="AB112" s="3" t="n">
        <v>11</v>
      </c>
      <c r="AC112" s="3" t="n">
        <v>5568</v>
      </c>
      <c r="AD112" s="3" t="n">
        <v>9673</v>
      </c>
      <c r="AE112" s="3" t="n">
        <v>10</v>
      </c>
      <c r="AF112" s="3" t="n">
        <v>0</v>
      </c>
      <c r="AG112" s="3" t="n">
        <v>5</v>
      </c>
      <c r="AH112" s="3" t="n">
        <v>4.08511</v>
      </c>
      <c r="AI112" s="3" t="n">
        <v>89</v>
      </c>
      <c r="AJ112" s="2" t="n">
        <f aca="false">IF(V112="Optimal", 1, 0)</f>
        <v>0</v>
      </c>
      <c r="AK112" s="29" t="b">
        <f aca="false">IF(AJ112=1, W112-G112)</f>
        <v>0</v>
      </c>
      <c r="AL112" s="4" t="n">
        <f aca="false">IF(AND(AH112&lt;&gt;-1, G112&lt;&gt;"-", G112&lt;&gt;"."), ((G112-AH112)/G112)*100, -1)</f>
        <v>-1</v>
      </c>
      <c r="AN112" s="5" t="n">
        <f aca="false">IF(AND(AO112=C112, A112=AP112), 1, 0)</f>
        <v>1</v>
      </c>
      <c r="AO112" s="5" t="s">
        <v>164</v>
      </c>
      <c r="AP112" s="5" t="n">
        <v>5</v>
      </c>
      <c r="AQ112" s="5" t="n">
        <v>3600</v>
      </c>
      <c r="AR112" s="5" t="n">
        <v>96</v>
      </c>
      <c r="AS112" s="5" t="n">
        <v>1368</v>
      </c>
      <c r="AT112" s="28" t="n">
        <v>3600</v>
      </c>
      <c r="AU112" s="28" t="s">
        <v>54</v>
      </c>
      <c r="AV112" s="28" t="n">
        <v>75.0778</v>
      </c>
      <c r="AW112" s="28" t="n">
        <v>28</v>
      </c>
      <c r="AX112" s="28" t="n">
        <v>68</v>
      </c>
      <c r="AY112" s="28" t="n">
        <v>360</v>
      </c>
      <c r="AZ112" s="28" t="n">
        <v>9505</v>
      </c>
      <c r="BA112" s="28" t="n">
        <v>115138</v>
      </c>
      <c r="BB112" s="6" t="n">
        <f aca="false">IF(AU112="Optimal", 1, 0)</f>
        <v>0</v>
      </c>
    </row>
    <row r="113" customFormat="false" ht="12.8" hidden="false" customHeight="false" outlineLevel="0" collapsed="false">
      <c r="A113" s="1" t="n">
        <v>5</v>
      </c>
      <c r="B113" s="23" t="s">
        <v>49</v>
      </c>
      <c r="C113" s="24" t="s">
        <v>165</v>
      </c>
      <c r="D113" s="25" t="n">
        <v>64</v>
      </c>
      <c r="E113" s="25" t="n">
        <v>728</v>
      </c>
      <c r="F113" s="25" t="n">
        <v>8</v>
      </c>
      <c r="G113" s="25" t="n">
        <v>48</v>
      </c>
      <c r="H113" s="3" t="n">
        <v>1</v>
      </c>
      <c r="I113" s="26" t="n">
        <v>411.59</v>
      </c>
      <c r="J113" s="26" t="n">
        <f aca="false">IF(I113="tl", 0, 1)</f>
        <v>1</v>
      </c>
      <c r="K113" s="26" t="s">
        <v>53</v>
      </c>
      <c r="L113" s="26" t="n">
        <f aca="false">IF(K113="tl", 0, 1)</f>
        <v>0</v>
      </c>
      <c r="M113" s="26" t="s">
        <v>53</v>
      </c>
      <c r="N113" s="26" t="n">
        <f aca="false">IF(M113="tl", 0, 1)</f>
        <v>0</v>
      </c>
      <c r="P113" s="23" t="n">
        <v>0</v>
      </c>
      <c r="Q113" s="23"/>
      <c r="R113" s="2" t="n">
        <f aca="false">IF(S113=C113, 1, 0)</f>
        <v>1</v>
      </c>
      <c r="S113" s="27" t="s">
        <v>165</v>
      </c>
      <c r="T113" s="1" t="n">
        <v>64</v>
      </c>
      <c r="U113" s="1" t="n">
        <v>728</v>
      </c>
      <c r="V113" s="3" t="s">
        <v>54</v>
      </c>
      <c r="W113" s="3" t="n">
        <v>52</v>
      </c>
      <c r="X113" s="3" t="n">
        <v>8.97143</v>
      </c>
      <c r="Y113" s="3" t="n">
        <v>1800.01</v>
      </c>
      <c r="Z113" s="3" t="n">
        <v>1315.4</v>
      </c>
      <c r="AA113" s="3" t="n">
        <v>10874</v>
      </c>
      <c r="AB113" s="3" t="n">
        <v>412</v>
      </c>
      <c r="AC113" s="3" t="n">
        <v>2976</v>
      </c>
      <c r="AD113" s="3" t="n">
        <v>5161</v>
      </c>
      <c r="AE113" s="3" t="n">
        <v>5</v>
      </c>
      <c r="AF113" s="3" t="n">
        <v>75</v>
      </c>
      <c r="AG113" s="3" t="n">
        <v>51</v>
      </c>
      <c r="AH113" s="3" t="n">
        <v>4.12903</v>
      </c>
      <c r="AI113" s="3" t="n">
        <v>56</v>
      </c>
      <c r="AJ113" s="2" t="n">
        <f aca="false">IF(V113="Optimal", 1, 0)</f>
        <v>0</v>
      </c>
      <c r="AK113" s="29" t="b">
        <f aca="false">IF(AJ113=1, W113-G113)</f>
        <v>0</v>
      </c>
      <c r="AL113" s="4" t="n">
        <f aca="false">IF(AND(AH113&lt;&gt;-1, G113&lt;&gt;"-", G113&lt;&gt;"."), ((G113-AH113)/G113)*100, -1)</f>
        <v>91.3978541666667</v>
      </c>
      <c r="AN113" s="5" t="n">
        <f aca="false">IF(AND(AO113=C113, A113=AP113), 1, 0)</f>
        <v>1</v>
      </c>
      <c r="AO113" s="5" t="s">
        <v>165</v>
      </c>
      <c r="AP113" s="5" t="n">
        <v>5</v>
      </c>
      <c r="AQ113" s="5" t="n">
        <v>3600</v>
      </c>
      <c r="AR113" s="5" t="n">
        <v>64</v>
      </c>
      <c r="AS113" s="5" t="n">
        <v>728</v>
      </c>
      <c r="AT113" s="28" t="n">
        <v>2931.14</v>
      </c>
      <c r="AU113" s="28" t="s">
        <v>51</v>
      </c>
      <c r="AV113" s="28" t="n">
        <v>16</v>
      </c>
      <c r="AW113" s="28" t="n">
        <v>16</v>
      </c>
      <c r="AX113" s="28" t="n">
        <v>48</v>
      </c>
      <c r="AY113" s="28" t="n">
        <v>240</v>
      </c>
      <c r="AZ113" s="28" t="n">
        <v>5205</v>
      </c>
      <c r="BA113" s="28" t="n">
        <v>211882</v>
      </c>
      <c r="BB113" s="6" t="n">
        <f aca="false">IF(AU113="Optimal", 1, 0)</f>
        <v>1</v>
      </c>
    </row>
    <row r="114" customFormat="false" ht="12.8" hidden="false" customHeight="false" outlineLevel="0" collapsed="false">
      <c r="A114" s="1" t="n">
        <v>5</v>
      </c>
      <c r="B114" s="23" t="s">
        <v>49</v>
      </c>
      <c r="C114" s="24" t="s">
        <v>166</v>
      </c>
      <c r="D114" s="25" t="n">
        <v>81</v>
      </c>
      <c r="E114" s="25" t="n">
        <v>1056</v>
      </c>
      <c r="F114" s="25" t="n">
        <v>9</v>
      </c>
      <c r="G114" s="25" t="n">
        <v>59</v>
      </c>
      <c r="H114" s="3" t="n">
        <v>1</v>
      </c>
      <c r="I114" s="26" t="n">
        <v>3078.7</v>
      </c>
      <c r="J114" s="26" t="n">
        <f aca="false">IF(I114="tl", 0, 1)</f>
        <v>1</v>
      </c>
      <c r="K114" s="26" t="s">
        <v>53</v>
      </c>
      <c r="L114" s="26" t="n">
        <f aca="false">IF(K114="tl", 0, 1)</f>
        <v>0</v>
      </c>
      <c r="M114" s="26" t="s">
        <v>53</v>
      </c>
      <c r="N114" s="26" t="n">
        <f aca="false">IF(M114="tl", 0, 1)</f>
        <v>0</v>
      </c>
      <c r="P114" s="23" t="n">
        <v>0</v>
      </c>
      <c r="Q114" s="23"/>
      <c r="R114" s="2" t="n">
        <f aca="false">IF(S114=C114, 1, 0)</f>
        <v>1</v>
      </c>
      <c r="S114" s="27" t="s">
        <v>166</v>
      </c>
      <c r="T114" s="1" t="n">
        <v>81</v>
      </c>
      <c r="U114" s="1" t="n">
        <v>1056</v>
      </c>
      <c r="V114" s="3" t="s">
        <v>54</v>
      </c>
      <c r="W114" s="3" t="n">
        <v>71</v>
      </c>
      <c r="X114" s="3" t="n">
        <v>7.19608</v>
      </c>
      <c r="Y114" s="3" t="n">
        <v>1800.05</v>
      </c>
      <c r="Z114" s="3" t="n">
        <v>780.972</v>
      </c>
      <c r="AA114" s="3" t="n">
        <v>8175</v>
      </c>
      <c r="AB114" s="3" t="n">
        <v>134</v>
      </c>
      <c r="AC114" s="3" t="n">
        <v>4305</v>
      </c>
      <c r="AD114" s="3" t="n">
        <v>7474</v>
      </c>
      <c r="AE114" s="3" t="n">
        <v>7</v>
      </c>
      <c r="AF114" s="3" t="n">
        <v>0</v>
      </c>
      <c r="AG114" s="3" t="n">
        <v>68</v>
      </c>
      <c r="AH114" s="3" t="n">
        <v>4.10127</v>
      </c>
      <c r="AI114" s="3" t="n">
        <v>73</v>
      </c>
      <c r="AJ114" s="2" t="n">
        <f aca="false">IF(V114="Optimal", 1, 0)</f>
        <v>0</v>
      </c>
      <c r="AK114" s="29" t="b">
        <f aca="false">IF(AJ114=1, W114-G114)</f>
        <v>0</v>
      </c>
      <c r="AL114" s="4" t="n">
        <f aca="false">IF(AND(AH114&lt;&gt;-1, G114&lt;&gt;"-", G114&lt;&gt;"."), ((G114-AH114)/G114)*100, -1)</f>
        <v>93.0486949152542</v>
      </c>
      <c r="AN114" s="5" t="n">
        <f aca="false">IF(AND(AO114=C114, A114=AP114), 1, 0)</f>
        <v>1</v>
      </c>
      <c r="AO114" s="5" t="s">
        <v>166</v>
      </c>
      <c r="AP114" s="5" t="n">
        <v>5</v>
      </c>
      <c r="AQ114" s="5" t="n">
        <v>3600</v>
      </c>
      <c r="AR114" s="5" t="n">
        <v>81</v>
      </c>
      <c r="AS114" s="5" t="n">
        <v>1056</v>
      </c>
      <c r="AT114" s="28" t="n">
        <v>3600</v>
      </c>
      <c r="AU114" s="28" t="s">
        <v>54</v>
      </c>
      <c r="AV114" s="28" t="n">
        <v>62.0914</v>
      </c>
      <c r="AW114" s="28" t="n">
        <v>22</v>
      </c>
      <c r="AX114" s="28" t="n">
        <v>59</v>
      </c>
      <c r="AY114" s="28" t="n">
        <v>315</v>
      </c>
      <c r="AZ114" s="28" t="n">
        <v>11765</v>
      </c>
      <c r="BA114" s="28" t="n">
        <v>128711</v>
      </c>
      <c r="BB114" s="6" t="n">
        <f aca="false">IF(AU114="Optimal", 1, 0)</f>
        <v>0</v>
      </c>
    </row>
    <row r="115" customFormat="false" ht="12.8" hidden="false" customHeight="false" outlineLevel="0" collapsed="false">
      <c r="A115" s="1" t="n">
        <v>5</v>
      </c>
      <c r="B115" s="23" t="s">
        <v>49</v>
      </c>
      <c r="C115" s="24" t="s">
        <v>167</v>
      </c>
      <c r="D115" s="25" t="n">
        <v>125</v>
      </c>
      <c r="E115" s="25" t="n">
        <v>209</v>
      </c>
      <c r="F115" s="25" t="n">
        <v>49</v>
      </c>
      <c r="G115" s="25" t="s">
        <v>86</v>
      </c>
      <c r="H115" s="3" t="n">
        <v>1</v>
      </c>
      <c r="I115" s="25" t="s">
        <v>86</v>
      </c>
      <c r="J115" s="26" t="n">
        <f aca="false">IF(I115="tl", 0, 1)</f>
        <v>1</v>
      </c>
      <c r="K115" s="25" t="s">
        <v>86</v>
      </c>
      <c r="L115" s="26" t="n">
        <f aca="false">IF(K115="tl", 0, 1)</f>
        <v>1</v>
      </c>
      <c r="M115" s="25" t="s">
        <v>86</v>
      </c>
      <c r="N115" s="26" t="n">
        <f aca="false">IF(M115="tl", 0, 1)</f>
        <v>1</v>
      </c>
      <c r="P115" s="23" t="n">
        <v>0</v>
      </c>
      <c r="Q115" s="23"/>
      <c r="R115" s="2" t="n">
        <f aca="false">IF(S115=C115, 1, 0)</f>
        <v>1</v>
      </c>
      <c r="S115" s="27" t="s">
        <v>167</v>
      </c>
      <c r="T115" s="1" t="n">
        <v>125</v>
      </c>
      <c r="U115" s="1" t="n">
        <v>209</v>
      </c>
      <c r="V115" s="3" t="s">
        <v>51</v>
      </c>
      <c r="W115" s="3" t="n">
        <v>0</v>
      </c>
      <c r="X115" s="3" t="n">
        <v>0</v>
      </c>
      <c r="Y115" s="3" t="n">
        <v>1.63112</v>
      </c>
      <c r="Z115" s="3" t="n">
        <v>0.48464</v>
      </c>
      <c r="AA115" s="3" t="n">
        <v>514</v>
      </c>
      <c r="AB115" s="3" t="n">
        <v>1</v>
      </c>
      <c r="AC115" s="3" t="n">
        <v>961</v>
      </c>
      <c r="AD115" s="3" t="n">
        <v>1589</v>
      </c>
      <c r="AE115" s="3" t="n">
        <v>180</v>
      </c>
      <c r="AF115" s="3" t="n">
        <v>0</v>
      </c>
      <c r="AG115" s="3" t="n">
        <v>0</v>
      </c>
      <c r="AH115" s="3" t="n">
        <v>-1</v>
      </c>
      <c r="AI115" s="3" t="n">
        <v>-1</v>
      </c>
      <c r="AJ115" s="2" t="n">
        <f aca="false">IF(V115="Optimal", 1, 0)</f>
        <v>1</v>
      </c>
      <c r="AK115" s="3" t="e">
        <f aca="false">IF(AJ115=1, W115-G115)</f>
        <v>#VALUE!</v>
      </c>
      <c r="AL115" s="4" t="n">
        <f aca="false">IF(AND(AH115&lt;&gt;-1, G115&lt;&gt;"-", G115&lt;&gt;"."), ((G115-AH115)/G115)*100, -1)</f>
        <v>-1</v>
      </c>
      <c r="AN115" s="5" t="n">
        <f aca="false">IF(AND(AO115=C115, A115=AP115), 1, 0)</f>
        <v>1</v>
      </c>
      <c r="AO115" s="5" t="s">
        <v>167</v>
      </c>
      <c r="AP115" s="5" t="n">
        <v>5</v>
      </c>
      <c r="AQ115" s="5" t="n">
        <v>3600</v>
      </c>
      <c r="AR115" s="5" t="n">
        <v>125</v>
      </c>
      <c r="AS115" s="5" t="n">
        <v>209</v>
      </c>
      <c r="AT115" s="28" t="n">
        <v>0.41459</v>
      </c>
      <c r="AU115" s="28" t="s">
        <v>51</v>
      </c>
      <c r="AV115" s="28" t="n">
        <v>125</v>
      </c>
      <c r="AW115" s="28" t="n">
        <v>125</v>
      </c>
      <c r="AX115" s="28" t="n">
        <v>0</v>
      </c>
      <c r="AY115" s="28" t="n">
        <v>615</v>
      </c>
      <c r="AZ115" s="28" t="n">
        <v>1179</v>
      </c>
      <c r="BA115" s="28" t="n">
        <v>1</v>
      </c>
      <c r="BB115" s="6" t="n">
        <f aca="false">IF(AU115="Optimal", 1, 0)</f>
        <v>1</v>
      </c>
    </row>
    <row r="116" customFormat="false" ht="12.8" hidden="false" customHeight="false" outlineLevel="0" collapsed="false">
      <c r="A116" s="1" t="n">
        <v>5</v>
      </c>
      <c r="B116" s="23" t="s">
        <v>49</v>
      </c>
      <c r="C116" s="24" t="s">
        <v>168</v>
      </c>
      <c r="D116" s="25" t="n">
        <v>125</v>
      </c>
      <c r="E116" s="25" t="n">
        <v>7501</v>
      </c>
      <c r="F116" s="25" t="n">
        <v>7</v>
      </c>
      <c r="G116" s="25" t="n">
        <v>116</v>
      </c>
      <c r="H116" s="3" t="n">
        <v>1</v>
      </c>
      <c r="I116" s="26" t="n">
        <v>0.34</v>
      </c>
      <c r="J116" s="26" t="n">
        <f aca="false">IF(I116="tl", 0, 1)</f>
        <v>1</v>
      </c>
      <c r="K116" s="26" t="n">
        <v>0.79</v>
      </c>
      <c r="L116" s="26" t="n">
        <f aca="false">IF(K116="tl", 0, 1)</f>
        <v>1</v>
      </c>
      <c r="M116" s="26" t="n">
        <v>0.13</v>
      </c>
      <c r="N116" s="26" t="n">
        <f aca="false">IF(M116="tl", 0, 1)</f>
        <v>1</v>
      </c>
      <c r="P116" s="23" t="n">
        <v>97</v>
      </c>
      <c r="Q116" s="23"/>
      <c r="R116" s="2" t="n">
        <f aca="false">IF(S116=C116, 1, 0)</f>
        <v>1</v>
      </c>
      <c r="S116" s="27" t="s">
        <v>168</v>
      </c>
      <c r="T116" s="1" t="n">
        <v>125</v>
      </c>
      <c r="U116" s="1" t="n">
        <v>7501</v>
      </c>
      <c r="V116" s="3" t="s">
        <v>54</v>
      </c>
      <c r="W116" s="3" t="n">
        <v>120</v>
      </c>
      <c r="X116" s="3" t="n">
        <v>5.06557</v>
      </c>
      <c r="Y116" s="3" t="n">
        <v>1800.36</v>
      </c>
      <c r="Z116" s="3" t="n">
        <v>263.316</v>
      </c>
      <c r="AA116" s="3" t="n">
        <v>7658</v>
      </c>
      <c r="AB116" s="3" t="n">
        <v>9</v>
      </c>
      <c r="AC116" s="3" t="n">
        <v>30129</v>
      </c>
      <c r="AD116" s="3" t="n">
        <v>52633</v>
      </c>
      <c r="AE116" s="3" t="n">
        <v>1</v>
      </c>
      <c r="AF116" s="3" t="n">
        <v>0</v>
      </c>
      <c r="AG116" s="3" t="n">
        <v>7</v>
      </c>
      <c r="AH116" s="3" t="n">
        <v>4.06504</v>
      </c>
      <c r="AI116" s="3" t="n">
        <v>120</v>
      </c>
      <c r="AJ116" s="2" t="n">
        <f aca="false">IF(V116="Optimal", 1, 0)</f>
        <v>0</v>
      </c>
      <c r="AK116" s="29" t="b">
        <f aca="false">IF(AJ116=1, W116-G116)</f>
        <v>0</v>
      </c>
      <c r="AL116" s="4" t="n">
        <f aca="false">IF(AND(AH116&lt;&gt;-1, G116&lt;&gt;"-", G116&lt;&gt;"."), ((G116-AH116)/G116)*100, -1)</f>
        <v>96.4956551724138</v>
      </c>
      <c r="AN116" s="5" t="n">
        <f aca="false">IF(AND(AO116=C116, A116=AP116), 1, 0)</f>
        <v>1</v>
      </c>
      <c r="AO116" s="5" t="s">
        <v>168</v>
      </c>
      <c r="AP116" s="5" t="n">
        <v>5</v>
      </c>
      <c r="AQ116" s="5" t="n">
        <v>3600</v>
      </c>
      <c r="AR116" s="5" t="n">
        <v>125</v>
      </c>
      <c r="AS116" s="5" t="n">
        <v>7501</v>
      </c>
      <c r="AT116" s="28" t="n">
        <v>7.34977</v>
      </c>
      <c r="AU116" s="28" t="s">
        <v>51</v>
      </c>
      <c r="AV116" s="28" t="n">
        <v>9</v>
      </c>
      <c r="AW116" s="28" t="n">
        <v>9</v>
      </c>
      <c r="AX116" s="28" t="n">
        <v>116</v>
      </c>
      <c r="AY116" s="28" t="n">
        <v>63</v>
      </c>
      <c r="AZ116" s="28" t="n">
        <v>138</v>
      </c>
      <c r="BA116" s="28" t="n">
        <v>1</v>
      </c>
      <c r="BB116" s="6" t="n">
        <f aca="false">IF(AU116="Optimal", 1, 0)</f>
        <v>1</v>
      </c>
    </row>
    <row r="117" customFormat="false" ht="12.8" hidden="false" customHeight="false" outlineLevel="0" collapsed="false">
      <c r="A117" s="1" t="n">
        <v>5</v>
      </c>
      <c r="B117" s="23" t="s">
        <v>49</v>
      </c>
      <c r="C117" s="24" t="s">
        <v>169</v>
      </c>
      <c r="D117" s="25" t="n">
        <v>125</v>
      </c>
      <c r="E117" s="25" t="n">
        <v>3838</v>
      </c>
      <c r="F117" s="25" t="n">
        <v>5</v>
      </c>
      <c r="G117" s="25" t="n">
        <v>91</v>
      </c>
      <c r="H117" s="3" t="n">
        <v>1</v>
      </c>
      <c r="I117" s="26" t="n">
        <v>364.18</v>
      </c>
      <c r="J117" s="26" t="n">
        <f aca="false">IF(I117="tl", 0, 1)</f>
        <v>1</v>
      </c>
      <c r="K117" s="26" t="s">
        <v>53</v>
      </c>
      <c r="L117" s="26" t="n">
        <f aca="false">IF(K117="tl", 0, 1)</f>
        <v>0</v>
      </c>
      <c r="M117" s="26" t="s">
        <v>53</v>
      </c>
      <c r="N117" s="26" t="n">
        <f aca="false">IF(M117="tl", 0, 1)</f>
        <v>0</v>
      </c>
      <c r="P117" s="23" t="n">
        <v>8</v>
      </c>
      <c r="Q117" s="23"/>
      <c r="R117" s="2" t="n">
        <f aca="false">IF(S117=C117, 1, 0)</f>
        <v>1</v>
      </c>
      <c r="S117" s="27" t="s">
        <v>169</v>
      </c>
      <c r="T117" s="1" t="n">
        <v>125</v>
      </c>
      <c r="U117" s="1" t="n">
        <v>3838</v>
      </c>
      <c r="V117" s="3" t="s">
        <v>54</v>
      </c>
      <c r="W117" s="30" t="n">
        <v>1E+020</v>
      </c>
      <c r="X117" s="3" t="n">
        <v>4.06504</v>
      </c>
      <c r="Y117" s="3" t="n">
        <v>1800.06</v>
      </c>
      <c r="Z117" s="3" t="n">
        <v>255.583</v>
      </c>
      <c r="AA117" s="3" t="n">
        <v>5664</v>
      </c>
      <c r="AB117" s="3" t="n">
        <v>7</v>
      </c>
      <c r="AC117" s="3" t="n">
        <v>15477</v>
      </c>
      <c r="AD117" s="3" t="n">
        <v>26992</v>
      </c>
      <c r="AE117" s="3" t="n">
        <v>6</v>
      </c>
      <c r="AF117" s="3" t="n">
        <v>0</v>
      </c>
      <c r="AG117" s="3" t="n">
        <v>5</v>
      </c>
      <c r="AH117" s="3" t="n">
        <v>4.06504</v>
      </c>
      <c r="AI117" s="30" t="n">
        <v>1E+020</v>
      </c>
      <c r="AJ117" s="2" t="n">
        <f aca="false">IF(V117="Optimal", 1, 0)</f>
        <v>0</v>
      </c>
      <c r="AK117" s="29" t="b">
        <f aca="false">IF(AJ117=1, W117-G117)</f>
        <v>0</v>
      </c>
      <c r="AL117" s="4" t="n">
        <f aca="false">IF(AND(AH117&lt;&gt;-1, G117&lt;&gt;"-", G117&lt;&gt;"."), ((G117-AH117)/G117)*100, -1)</f>
        <v>95.5329230769231</v>
      </c>
      <c r="AN117" s="5" t="n">
        <f aca="false">IF(AND(AO117=C117, A117=AP117), 1, 0)</f>
        <v>1</v>
      </c>
      <c r="AO117" s="5" t="s">
        <v>169</v>
      </c>
      <c r="AP117" s="5" t="n">
        <v>5</v>
      </c>
      <c r="AQ117" s="5" t="n">
        <v>3600</v>
      </c>
      <c r="AR117" s="5" t="n">
        <v>125</v>
      </c>
      <c r="AS117" s="5" t="n">
        <v>3838</v>
      </c>
      <c r="AT117" s="28" t="n">
        <v>3600</v>
      </c>
      <c r="AU117" s="28" t="s">
        <v>54</v>
      </c>
      <c r="AV117" s="28" t="n">
        <v>112.131</v>
      </c>
      <c r="AW117" s="28" t="n">
        <v>34</v>
      </c>
      <c r="AX117" s="28" t="n">
        <v>91</v>
      </c>
      <c r="AY117" s="28" t="n">
        <v>588</v>
      </c>
      <c r="AZ117" s="28" t="n">
        <v>21363</v>
      </c>
      <c r="BA117" s="28" t="n">
        <v>4571</v>
      </c>
      <c r="BB117" s="6" t="n">
        <f aca="false">IF(AU117="Optimal", 1, 0)</f>
        <v>0</v>
      </c>
    </row>
    <row r="118" customFormat="false" ht="12.8" hidden="false" customHeight="false" outlineLevel="0" collapsed="false">
      <c r="A118" s="1" t="n">
        <v>5</v>
      </c>
      <c r="B118" s="23" t="s">
        <v>67</v>
      </c>
      <c r="C118" s="24" t="s">
        <v>170</v>
      </c>
      <c r="D118" s="25" t="n">
        <v>136</v>
      </c>
      <c r="E118" s="25" t="n">
        <v>641</v>
      </c>
      <c r="F118" s="25" t="n">
        <v>39</v>
      </c>
      <c r="G118" s="25" t="n">
        <v>7</v>
      </c>
      <c r="H118" s="3" t="n">
        <v>1</v>
      </c>
      <c r="I118" s="25" t="n">
        <v>157.57</v>
      </c>
      <c r="J118" s="26" t="n">
        <f aca="false">IF(I118="tl", 0, 1)</f>
        <v>1</v>
      </c>
      <c r="K118" s="25" t="n">
        <v>37.21</v>
      </c>
      <c r="L118" s="26" t="n">
        <f aca="false">IF(K118="tl", 0, 1)</f>
        <v>1</v>
      </c>
      <c r="M118" s="25" t="n">
        <v>75.83</v>
      </c>
      <c r="N118" s="26" t="n">
        <f aca="false">IF(M118="tl", 0, 1)</f>
        <v>1</v>
      </c>
      <c r="P118" s="23" t="n">
        <v>0</v>
      </c>
      <c r="Q118" s="23"/>
      <c r="R118" s="2" t="n">
        <f aca="false">IF(S118=C118, 1, 0)</f>
        <v>1</v>
      </c>
      <c r="S118" s="27" t="s">
        <v>170</v>
      </c>
      <c r="T118" s="27" t="n">
        <v>136</v>
      </c>
      <c r="U118" s="27" t="n">
        <v>641</v>
      </c>
      <c r="V118" s="3" t="s">
        <v>54</v>
      </c>
      <c r="W118" s="3" t="n">
        <v>23</v>
      </c>
      <c r="X118" s="3" t="n">
        <v>4.65957</v>
      </c>
      <c r="Y118" s="3" t="n">
        <v>1800.07</v>
      </c>
      <c r="Z118" s="3" t="n">
        <v>588.777</v>
      </c>
      <c r="AA118" s="3" t="n">
        <v>7857</v>
      </c>
      <c r="AB118" s="3" t="n">
        <v>37</v>
      </c>
      <c r="AC118" s="3" t="n">
        <v>2700</v>
      </c>
      <c r="AD118" s="3" t="n">
        <v>4624</v>
      </c>
      <c r="AE118" s="3" t="n">
        <v>17</v>
      </c>
      <c r="AF118" s="3" t="n">
        <v>0</v>
      </c>
      <c r="AG118" s="3" t="n">
        <v>13</v>
      </c>
      <c r="AH118" s="3" t="n">
        <v>4</v>
      </c>
      <c r="AI118" s="3" t="n">
        <v>90</v>
      </c>
      <c r="AJ118" s="2" t="n">
        <f aca="false">IF(V118="Optimal", 1, 0)</f>
        <v>0</v>
      </c>
      <c r="AK118" s="29" t="b">
        <f aca="false">IF(AJ118=1, W118-G118)</f>
        <v>0</v>
      </c>
      <c r="AL118" s="4" t="n">
        <f aca="false">IF(AND(AH118&lt;&gt;-1, G118&lt;&gt;"-", G118&lt;&gt;"."), ((G118-AH118)/G118)*100, -1)</f>
        <v>42.8571428571429</v>
      </c>
      <c r="AN118" s="5" t="n">
        <f aca="false">IF(AND(AO118=C118, A118=AP118), 1, 0)</f>
        <v>1</v>
      </c>
      <c r="AO118" s="5" t="s">
        <v>170</v>
      </c>
      <c r="AP118" s="5" t="n">
        <v>5</v>
      </c>
      <c r="AQ118" s="5" t="n">
        <v>3600</v>
      </c>
      <c r="AR118" s="5" t="n">
        <v>136</v>
      </c>
      <c r="AS118" s="5" t="n">
        <v>641</v>
      </c>
      <c r="AT118" s="28" t="n">
        <v>817.697</v>
      </c>
      <c r="AU118" s="28" t="s">
        <v>51</v>
      </c>
      <c r="AV118" s="28" t="n">
        <v>129</v>
      </c>
      <c r="AW118" s="28" t="n">
        <v>129</v>
      </c>
      <c r="AX118" s="28" t="n">
        <v>7</v>
      </c>
      <c r="AY118" s="28" t="n">
        <v>664</v>
      </c>
      <c r="AZ118" s="28" t="n">
        <v>2306</v>
      </c>
      <c r="BA118" s="28" t="n">
        <v>1913</v>
      </c>
      <c r="BB118" s="6" t="n">
        <f aca="false">IF(AU118="Optimal", 1, 0)</f>
        <v>1</v>
      </c>
    </row>
    <row r="119" customFormat="false" ht="12.8" hidden="false" customHeight="false" outlineLevel="0" collapsed="false">
      <c r="A119" s="1" t="n">
        <v>5</v>
      </c>
      <c r="B119" s="23" t="s">
        <v>67</v>
      </c>
      <c r="C119" s="24" t="s">
        <v>171</v>
      </c>
      <c r="D119" s="25" t="n">
        <v>80</v>
      </c>
      <c r="E119" s="25" t="n">
        <v>712</v>
      </c>
      <c r="F119" s="25" t="n">
        <v>7</v>
      </c>
      <c r="G119" s="25" t="n">
        <v>32</v>
      </c>
      <c r="H119" s="3" t="n">
        <v>1</v>
      </c>
      <c r="I119" s="25" t="n">
        <v>186.29</v>
      </c>
      <c r="J119" s="26" t="n">
        <f aca="false">IF(I119="tl", 0, 1)</f>
        <v>1</v>
      </c>
      <c r="K119" s="25" t="s">
        <v>53</v>
      </c>
      <c r="L119" s="26" t="n">
        <f aca="false">IF(K119="tl", 0, 1)</f>
        <v>0</v>
      </c>
      <c r="M119" s="25" t="s">
        <v>53</v>
      </c>
      <c r="N119" s="26" t="n">
        <f aca="false">IF(M119="tl", 0, 1)</f>
        <v>0</v>
      </c>
      <c r="P119" s="23" t="n">
        <v>0</v>
      </c>
      <c r="Q119" s="23"/>
      <c r="R119" s="2" t="n">
        <f aca="false">IF(S119=C119, 1, 0)</f>
        <v>1</v>
      </c>
      <c r="S119" s="27" t="s">
        <v>171</v>
      </c>
      <c r="T119" s="27" t="n">
        <v>80</v>
      </c>
      <c r="U119" s="27" t="n">
        <v>712</v>
      </c>
      <c r="V119" s="3" t="s">
        <v>54</v>
      </c>
      <c r="W119" s="30" t="n">
        <v>61</v>
      </c>
      <c r="X119" s="3" t="n">
        <v>5.82051</v>
      </c>
      <c r="Y119" s="3" t="n">
        <v>1800.27</v>
      </c>
      <c r="Z119" s="3" t="n">
        <v>1208.64</v>
      </c>
      <c r="AA119" s="3" t="n">
        <v>10259</v>
      </c>
      <c r="AB119" s="3" t="n">
        <v>58</v>
      </c>
      <c r="AC119" s="3" t="n">
        <v>2928</v>
      </c>
      <c r="AD119" s="3" t="n">
        <v>5065</v>
      </c>
      <c r="AE119" s="3" t="n">
        <v>31</v>
      </c>
      <c r="AF119" s="3" t="n">
        <v>0</v>
      </c>
      <c r="AG119" s="3" t="n">
        <v>18</v>
      </c>
      <c r="AH119" s="3" t="n">
        <v>4.10256</v>
      </c>
      <c r="AI119" s="3" t="n">
        <v>71</v>
      </c>
      <c r="AJ119" s="2" t="n">
        <f aca="false">IF(V119="Optimal", 1, 0)</f>
        <v>0</v>
      </c>
      <c r="AK119" s="29" t="b">
        <f aca="false">IF(AJ119=1, W119-G119)</f>
        <v>0</v>
      </c>
      <c r="AL119" s="4" t="n">
        <f aca="false">IF(AND(AH119&lt;&gt;-1, G119&lt;&gt;"-", G119&lt;&gt;"."), ((G119-AH119)/G119)*100, -1)</f>
        <v>87.1795</v>
      </c>
      <c r="AN119" s="5" t="n">
        <f aca="false">IF(AND(AO119=C119, A119=AP119), 1, 0)</f>
        <v>1</v>
      </c>
      <c r="AO119" s="5" t="s">
        <v>171</v>
      </c>
      <c r="AP119" s="5" t="n">
        <v>5</v>
      </c>
      <c r="AQ119" s="5" t="n">
        <v>3600</v>
      </c>
      <c r="AR119" s="5" t="n">
        <v>80</v>
      </c>
      <c r="AS119" s="5" t="n">
        <v>712</v>
      </c>
      <c r="AT119" s="28" t="n">
        <v>3600</v>
      </c>
      <c r="AU119" s="28" t="s">
        <v>54</v>
      </c>
      <c r="AV119" s="28" t="n">
        <v>62.5432</v>
      </c>
      <c r="AW119" s="28" t="n">
        <v>48</v>
      </c>
      <c r="AX119" s="28" t="n">
        <v>32</v>
      </c>
      <c r="AY119" s="28" t="n">
        <v>325</v>
      </c>
      <c r="AZ119" s="28" t="n">
        <v>5211</v>
      </c>
      <c r="BA119" s="28" t="n">
        <v>203248</v>
      </c>
      <c r="BB119" s="6" t="n">
        <f aca="false">IF(AU119="Optimal", 1, 0)</f>
        <v>0</v>
      </c>
    </row>
    <row r="120" customFormat="false" ht="12.8" hidden="false" customHeight="false" outlineLevel="0" collapsed="false">
      <c r="A120" s="1" t="n">
        <v>5</v>
      </c>
      <c r="B120" s="23" t="s">
        <v>67</v>
      </c>
      <c r="C120" s="24" t="s">
        <v>172</v>
      </c>
      <c r="D120" s="25" t="n">
        <v>67</v>
      </c>
      <c r="E120" s="25" t="n">
        <v>411</v>
      </c>
      <c r="F120" s="25" t="n">
        <v>12</v>
      </c>
      <c r="G120" s="25" t="n">
        <v>20</v>
      </c>
      <c r="H120" s="3" t="n">
        <v>1</v>
      </c>
      <c r="I120" s="25" t="n">
        <v>144.6</v>
      </c>
      <c r="J120" s="26" t="n">
        <f aca="false">IF(I120="tl", 0, 1)</f>
        <v>1</v>
      </c>
      <c r="K120" s="25" t="s">
        <v>53</v>
      </c>
      <c r="L120" s="26" t="n">
        <f aca="false">IF(K120="tl", 0, 1)</f>
        <v>0</v>
      </c>
      <c r="M120" s="25" t="s">
        <v>53</v>
      </c>
      <c r="N120" s="26" t="n">
        <f aca="false">IF(M120="tl", 0, 1)</f>
        <v>0</v>
      </c>
      <c r="P120" s="23" t="n">
        <v>0</v>
      </c>
      <c r="Q120" s="23"/>
      <c r="R120" s="2" t="n">
        <f aca="false">IF(S120=C120, 1, 0)</f>
        <v>1</v>
      </c>
      <c r="S120" s="27" t="s">
        <v>172</v>
      </c>
      <c r="T120" s="27" t="n">
        <v>67</v>
      </c>
      <c r="U120" s="27" t="n">
        <v>411</v>
      </c>
      <c r="V120" s="3" t="s">
        <v>54</v>
      </c>
      <c r="W120" s="30" t="n">
        <v>53</v>
      </c>
      <c r="X120" s="3" t="n">
        <v>7.12903</v>
      </c>
      <c r="Y120" s="3" t="n">
        <v>1800.05</v>
      </c>
      <c r="Z120" s="3" t="n">
        <v>1085.59</v>
      </c>
      <c r="AA120" s="3" t="n">
        <v>12774</v>
      </c>
      <c r="AB120" s="3" t="n">
        <v>63</v>
      </c>
      <c r="AC120" s="3" t="n">
        <v>1711</v>
      </c>
      <c r="AD120" s="3" t="n">
        <v>2945</v>
      </c>
      <c r="AE120" s="3" t="n">
        <v>13</v>
      </c>
      <c r="AF120" s="3" t="n">
        <v>0</v>
      </c>
      <c r="AG120" s="3" t="n">
        <v>13</v>
      </c>
      <c r="AH120" s="3" t="n">
        <v>4.12308</v>
      </c>
      <c r="AI120" s="30" t="n">
        <v>53</v>
      </c>
      <c r="AJ120" s="2" t="n">
        <f aca="false">IF(V120="Optimal", 1, 0)</f>
        <v>0</v>
      </c>
      <c r="AK120" s="29" t="b">
        <f aca="false">IF(AJ120=1, W120-G120)</f>
        <v>0</v>
      </c>
      <c r="AL120" s="4" t="n">
        <f aca="false">IF(AND(AH120&lt;&gt;-1, G120&lt;&gt;"-", G120&lt;&gt;"."), ((G120-AH120)/G120)*100, -1)</f>
        <v>79.3846</v>
      </c>
      <c r="AN120" s="5" t="n">
        <f aca="false">IF(AND(AO120=C120, A120=AP120), 1, 0)</f>
        <v>1</v>
      </c>
      <c r="AO120" s="5" t="s">
        <v>172</v>
      </c>
      <c r="AP120" s="5" t="n">
        <v>5</v>
      </c>
      <c r="AQ120" s="5" t="n">
        <v>3600</v>
      </c>
      <c r="AR120" s="5" t="n">
        <v>67</v>
      </c>
      <c r="AS120" s="5" t="n">
        <v>411</v>
      </c>
      <c r="AT120" s="28" t="n">
        <v>850.675</v>
      </c>
      <c r="AU120" s="28" t="s">
        <v>51</v>
      </c>
      <c r="AV120" s="28" t="n">
        <v>47</v>
      </c>
      <c r="AW120" s="28" t="n">
        <v>47</v>
      </c>
      <c r="AX120" s="28" t="n">
        <v>20</v>
      </c>
      <c r="AY120" s="28" t="n">
        <v>277</v>
      </c>
      <c r="AZ120" s="28" t="n">
        <v>1789</v>
      </c>
      <c r="BA120" s="28" t="n">
        <v>99056</v>
      </c>
      <c r="BB120" s="6" t="n">
        <f aca="false">IF(AU120="Optimal", 1, 0)</f>
        <v>1</v>
      </c>
    </row>
    <row r="121" customFormat="false" ht="12.8" hidden="false" customHeight="false" outlineLevel="0" collapsed="false">
      <c r="A121" s="1" t="n">
        <v>5</v>
      </c>
      <c r="B121" s="23" t="s">
        <v>67</v>
      </c>
      <c r="C121" s="24" t="s">
        <v>173</v>
      </c>
      <c r="D121" s="25" t="n">
        <v>132</v>
      </c>
      <c r="E121" s="25" t="n">
        <v>560</v>
      </c>
      <c r="F121" s="25" t="n">
        <v>39</v>
      </c>
      <c r="G121" s="25" t="n">
        <v>5</v>
      </c>
      <c r="H121" s="3" t="n">
        <v>1</v>
      </c>
      <c r="I121" s="25" t="n">
        <v>24.78</v>
      </c>
      <c r="J121" s="26" t="n">
        <f aca="false">IF(I121="tl", 0, 1)</f>
        <v>1</v>
      </c>
      <c r="K121" s="25" t="n">
        <v>40</v>
      </c>
      <c r="L121" s="26" t="n">
        <f aca="false">IF(K121="tl", 0, 1)</f>
        <v>1</v>
      </c>
      <c r="M121" s="25" t="n">
        <v>12.83</v>
      </c>
      <c r="N121" s="26" t="n">
        <f aca="false">IF(M121="tl", 0, 1)</f>
        <v>1</v>
      </c>
      <c r="P121" s="23" t="n">
        <v>0</v>
      </c>
      <c r="Q121" s="23"/>
      <c r="R121" s="2" t="n">
        <f aca="false">IF(S121=C121, 1, 0)</f>
        <v>1</v>
      </c>
      <c r="S121" s="27" t="s">
        <v>173</v>
      </c>
      <c r="T121" s="27" t="n">
        <v>132</v>
      </c>
      <c r="U121" s="27" t="n">
        <v>560</v>
      </c>
      <c r="V121" s="3" t="s">
        <v>51</v>
      </c>
      <c r="W121" s="3" t="n">
        <v>5</v>
      </c>
      <c r="X121" s="3" t="n">
        <v>5</v>
      </c>
      <c r="Y121" s="3" t="n">
        <v>69.083</v>
      </c>
      <c r="Z121" s="3" t="n">
        <v>28.0625</v>
      </c>
      <c r="AA121" s="3" t="n">
        <v>1658</v>
      </c>
      <c r="AB121" s="3" t="n">
        <v>10</v>
      </c>
      <c r="AC121" s="3" t="n">
        <v>2372</v>
      </c>
      <c r="AD121" s="3" t="n">
        <v>4053</v>
      </c>
      <c r="AE121" s="3" t="n">
        <v>50</v>
      </c>
      <c r="AF121" s="3" t="n">
        <v>0</v>
      </c>
      <c r="AG121" s="3" t="n">
        <v>4</v>
      </c>
      <c r="AH121" s="3" t="n">
        <v>4</v>
      </c>
      <c r="AI121" s="3" t="n">
        <v>38</v>
      </c>
      <c r="AJ121" s="2" t="n">
        <f aca="false">IF(V121="Optimal", 1, 0)</f>
        <v>1</v>
      </c>
      <c r="AK121" s="3" t="n">
        <f aca="false">IF(AJ121=1, W121-G121)</f>
        <v>0</v>
      </c>
      <c r="AL121" s="4" t="n">
        <f aca="false">IF(AND(AH121&lt;&gt;-1, G121&lt;&gt;"-", G121&lt;&gt;"."), ((G121-AH121)/G121)*100, -1)</f>
        <v>20</v>
      </c>
      <c r="AN121" s="5" t="n">
        <f aca="false">IF(AND(AO121=C121, A121=AP121), 1, 0)</f>
        <v>1</v>
      </c>
      <c r="AO121" s="5" t="s">
        <v>173</v>
      </c>
      <c r="AP121" s="5" t="n">
        <v>5</v>
      </c>
      <c r="AQ121" s="5" t="n">
        <v>3600</v>
      </c>
      <c r="AR121" s="5" t="n">
        <v>132</v>
      </c>
      <c r="AS121" s="5" t="n">
        <v>560</v>
      </c>
      <c r="AT121" s="28" t="n">
        <v>326.209</v>
      </c>
      <c r="AU121" s="28" t="s">
        <v>51</v>
      </c>
      <c r="AV121" s="28" t="n">
        <v>127</v>
      </c>
      <c r="AW121" s="28" t="n">
        <v>127</v>
      </c>
      <c r="AX121" s="28" t="n">
        <v>5</v>
      </c>
      <c r="AY121" s="28" t="n">
        <v>650</v>
      </c>
      <c r="AZ121" s="28" t="n">
        <v>1926</v>
      </c>
      <c r="BA121" s="28" t="n">
        <v>2878</v>
      </c>
      <c r="BB121" s="6" t="n">
        <f aca="false">IF(AU121="Optimal", 1, 0)</f>
        <v>1</v>
      </c>
    </row>
    <row r="122" customFormat="false" ht="12.8" hidden="false" customHeight="false" outlineLevel="0" collapsed="false">
      <c r="A122" s="1" t="n">
        <v>5</v>
      </c>
      <c r="B122" s="23" t="s">
        <v>67</v>
      </c>
      <c r="C122" s="24" t="s">
        <v>174</v>
      </c>
      <c r="D122" s="25" t="n">
        <v>57</v>
      </c>
      <c r="E122" s="25" t="n">
        <v>304</v>
      </c>
      <c r="F122" s="25" t="n">
        <v>10</v>
      </c>
      <c r="G122" s="25" t="n">
        <v>7</v>
      </c>
      <c r="H122" s="3" t="n">
        <v>1</v>
      </c>
      <c r="I122" s="25" t="n">
        <v>1.12</v>
      </c>
      <c r="J122" s="26" t="n">
        <f aca="false">IF(I122="tl", 0, 1)</f>
        <v>1</v>
      </c>
      <c r="K122" s="25" t="n">
        <v>2.78</v>
      </c>
      <c r="L122" s="26" t="n">
        <f aca="false">IF(K122="tl", 0, 1)</f>
        <v>1</v>
      </c>
      <c r="M122" s="25" t="n">
        <v>0.82</v>
      </c>
      <c r="N122" s="26" t="n">
        <f aca="false">IF(M122="tl", 0, 1)</f>
        <v>1</v>
      </c>
      <c r="P122" s="23" t="n">
        <v>0</v>
      </c>
      <c r="Q122" s="23"/>
      <c r="R122" s="2" t="n">
        <f aca="false">IF(S122=C122, 1, 0)</f>
        <v>1</v>
      </c>
      <c r="S122" s="27" t="s">
        <v>174</v>
      </c>
      <c r="T122" s="27" t="n">
        <v>57</v>
      </c>
      <c r="U122" s="27" t="n">
        <v>304</v>
      </c>
      <c r="V122" s="3" t="s">
        <v>51</v>
      </c>
      <c r="W122" s="3" t="n">
        <v>7</v>
      </c>
      <c r="X122" s="3" t="n">
        <v>7</v>
      </c>
      <c r="Y122" s="3" t="n">
        <v>110.84</v>
      </c>
      <c r="Z122" s="3" t="n">
        <v>72.7244</v>
      </c>
      <c r="AA122" s="3" t="n">
        <v>3355</v>
      </c>
      <c r="AB122" s="3" t="n">
        <v>63</v>
      </c>
      <c r="AC122" s="3" t="n">
        <v>1273</v>
      </c>
      <c r="AD122" s="3" t="n">
        <v>2186</v>
      </c>
      <c r="AE122" s="3" t="n">
        <v>15</v>
      </c>
      <c r="AF122" s="3" t="n">
        <v>0</v>
      </c>
      <c r="AG122" s="3" t="n">
        <v>8</v>
      </c>
      <c r="AH122" s="3" t="n">
        <v>4.14545</v>
      </c>
      <c r="AI122" s="3" t="n">
        <v>41</v>
      </c>
      <c r="AJ122" s="2" t="n">
        <f aca="false">IF(V122="Optimal", 1, 0)</f>
        <v>1</v>
      </c>
      <c r="AK122" s="3" t="n">
        <f aca="false">IF(AJ122=1, W122-G122)</f>
        <v>0</v>
      </c>
      <c r="AL122" s="4" t="n">
        <f aca="false">IF(AND(AH122&lt;&gt;-1, G122&lt;&gt;"-", G122&lt;&gt;"."), ((G122-AH122)/G122)*100, -1)</f>
        <v>40.7792857142857</v>
      </c>
      <c r="AN122" s="5" t="n">
        <f aca="false">IF(AND(AO122=C122, A122=AP122), 1, 0)</f>
        <v>1</v>
      </c>
      <c r="AO122" s="5" t="s">
        <v>174</v>
      </c>
      <c r="AP122" s="5" t="n">
        <v>5</v>
      </c>
      <c r="AQ122" s="5" t="n">
        <v>3600</v>
      </c>
      <c r="AR122" s="5" t="n">
        <v>57</v>
      </c>
      <c r="AS122" s="5" t="n">
        <v>304</v>
      </c>
      <c r="AT122" s="28" t="n">
        <v>93.9868</v>
      </c>
      <c r="AU122" s="28" t="s">
        <v>51</v>
      </c>
      <c r="AV122" s="28" t="n">
        <v>50</v>
      </c>
      <c r="AW122" s="28" t="n">
        <v>50</v>
      </c>
      <c r="AX122" s="28" t="n">
        <v>7</v>
      </c>
      <c r="AY122" s="28" t="n">
        <v>275</v>
      </c>
      <c r="AZ122" s="28" t="n">
        <v>1574</v>
      </c>
      <c r="BA122" s="28" t="n">
        <v>2574</v>
      </c>
      <c r="BB122" s="6" t="n">
        <f aca="false">IF(AU122="Optimal", 1, 0)</f>
        <v>1</v>
      </c>
    </row>
    <row r="123" customFormat="false" ht="12.8" hidden="false" customHeight="false" outlineLevel="0" collapsed="false">
      <c r="A123" s="1" t="n">
        <v>10</v>
      </c>
      <c r="B123" s="23" t="s">
        <v>49</v>
      </c>
      <c r="C123" s="24" t="s">
        <v>50</v>
      </c>
      <c r="D123" s="32" t="n">
        <v>30</v>
      </c>
      <c r="E123" s="32" t="n">
        <v>100</v>
      </c>
      <c r="F123" s="32" t="n">
        <v>14</v>
      </c>
      <c r="G123" s="25" t="n">
        <v>11</v>
      </c>
      <c r="H123" s="26" t="n">
        <v>1</v>
      </c>
      <c r="I123" s="26" t="n">
        <v>2.1</v>
      </c>
      <c r="J123" s="26" t="n">
        <f aca="false">IF(I123="tl", 0, 1)</f>
        <v>1</v>
      </c>
      <c r="K123" s="26" t="n">
        <v>2.25</v>
      </c>
      <c r="L123" s="26" t="n">
        <f aca="false">IF(K123="tl", 0, 1)</f>
        <v>1</v>
      </c>
      <c r="M123" s="26" t="n">
        <v>0.14</v>
      </c>
      <c r="N123" s="26" t="n">
        <f aca="false">IF(M123="tl", 0, 1)</f>
        <v>1</v>
      </c>
      <c r="O123" s="26"/>
      <c r="P123" s="23" t="n">
        <v>0</v>
      </c>
      <c r="Q123" s="23"/>
      <c r="R123" s="2" t="n">
        <f aca="false">IF(S123=C123, 1, 0)</f>
        <v>1</v>
      </c>
      <c r="S123" s="27" t="s">
        <v>50</v>
      </c>
      <c r="T123" s="27" t="n">
        <v>30</v>
      </c>
      <c r="U123" s="27" t="n">
        <v>100</v>
      </c>
      <c r="V123" s="3" t="s">
        <v>51</v>
      </c>
      <c r="W123" s="3" t="n">
        <v>11</v>
      </c>
      <c r="X123" s="3" t="n">
        <v>11</v>
      </c>
      <c r="Y123" s="3" t="n">
        <v>1.37728</v>
      </c>
      <c r="Z123" s="3" t="n">
        <v>0.947626</v>
      </c>
      <c r="AA123" s="3" t="n">
        <v>249</v>
      </c>
      <c r="AB123" s="3" t="n">
        <v>12</v>
      </c>
      <c r="AC123" s="3" t="n">
        <v>430</v>
      </c>
      <c r="AD123" s="3" t="n">
        <v>731</v>
      </c>
      <c r="AE123" s="3" t="n">
        <v>6</v>
      </c>
      <c r="AF123" s="3" t="n">
        <v>0</v>
      </c>
      <c r="AG123" s="3" t="n">
        <v>9</v>
      </c>
      <c r="AH123" s="3" t="n">
        <v>9.64286</v>
      </c>
      <c r="AI123" s="3" t="n">
        <v>18</v>
      </c>
      <c r="AJ123" s="2" t="n">
        <f aca="false">IF(V123="Optimal", 1, 0)</f>
        <v>1</v>
      </c>
      <c r="AK123" s="3" t="n">
        <f aca="false">IF(AJ123=1, W123-G123)</f>
        <v>0</v>
      </c>
      <c r="AL123" s="4" t="n">
        <f aca="false">IF(AND(AH123&lt;&gt;-1, G123&lt;&gt;"-", G123&lt;&gt;"."), ((G123-AH123)/G123)*100, -1)</f>
        <v>12.3376363636364</v>
      </c>
      <c r="AN123" s="5" t="n">
        <f aca="false">IF(AND(AO123=C123, A123=AP123), 1, 0)</f>
        <v>1</v>
      </c>
      <c r="AO123" s="5" t="s">
        <v>50</v>
      </c>
      <c r="AP123" s="5" t="n">
        <v>10</v>
      </c>
      <c r="AQ123" s="5" t="n">
        <v>3600</v>
      </c>
      <c r="AR123" s="5" t="n">
        <v>30</v>
      </c>
      <c r="AS123" s="5" t="n">
        <v>100</v>
      </c>
      <c r="AT123" s="28" t="n">
        <v>5.61762</v>
      </c>
      <c r="AU123" s="28" t="s">
        <v>51</v>
      </c>
      <c r="AV123" s="28" t="n">
        <v>19</v>
      </c>
      <c r="AW123" s="28" t="n">
        <v>19</v>
      </c>
      <c r="AX123" s="28" t="n">
        <v>11</v>
      </c>
      <c r="AY123" s="28" t="n">
        <v>163</v>
      </c>
      <c r="AZ123" s="28" t="n">
        <v>537</v>
      </c>
      <c r="BA123" s="28" t="n">
        <v>1</v>
      </c>
      <c r="BB123" s="6" t="n">
        <f aca="false">IF(AU123="Optimal", 1, 0)</f>
        <v>1</v>
      </c>
    </row>
    <row r="124" customFormat="false" ht="12.8" hidden="false" customHeight="false" outlineLevel="0" collapsed="false">
      <c r="A124" s="1" t="n">
        <v>10</v>
      </c>
      <c r="B124" s="23" t="s">
        <v>49</v>
      </c>
      <c r="C124" s="24" t="s">
        <v>52</v>
      </c>
      <c r="D124" s="32" t="n">
        <v>93</v>
      </c>
      <c r="E124" s="32" t="n">
        <v>593</v>
      </c>
      <c r="F124" s="32" t="n">
        <v>45</v>
      </c>
      <c r="G124" s="25" t="n">
        <v>13</v>
      </c>
      <c r="H124" s="26" t="n">
        <v>1</v>
      </c>
      <c r="I124" s="26" t="s">
        <v>53</v>
      </c>
      <c r="J124" s="26" t="n">
        <f aca="false">IF(I124="tl", 0, 1)</f>
        <v>0</v>
      </c>
      <c r="K124" s="26" t="s">
        <v>53</v>
      </c>
      <c r="L124" s="26" t="n">
        <f aca="false">IF(K124="tl", 0, 1)</f>
        <v>0</v>
      </c>
      <c r="M124" s="26" t="n">
        <v>16.4</v>
      </c>
      <c r="N124" s="26" t="n">
        <f aca="false">IF(M124="tl", 0, 1)</f>
        <v>1</v>
      </c>
      <c r="O124" s="26"/>
      <c r="P124" s="23" t="n">
        <v>0</v>
      </c>
      <c r="Q124" s="23"/>
      <c r="R124" s="2" t="n">
        <f aca="false">IF(S124=C124, 1, 0)</f>
        <v>1</v>
      </c>
      <c r="S124" s="27" t="s">
        <v>52</v>
      </c>
      <c r="T124" s="27" t="n">
        <v>93</v>
      </c>
      <c r="U124" s="27" t="n">
        <v>593</v>
      </c>
      <c r="V124" s="3" t="s">
        <v>54</v>
      </c>
      <c r="W124" s="3" t="n">
        <v>18</v>
      </c>
      <c r="X124" s="3" t="n">
        <v>9.1978</v>
      </c>
      <c r="Y124" s="3" t="n">
        <v>1800.01</v>
      </c>
      <c r="Z124" s="3" t="n">
        <v>297.703</v>
      </c>
      <c r="AA124" s="3" t="n">
        <v>20279</v>
      </c>
      <c r="AB124" s="3" t="n">
        <v>3</v>
      </c>
      <c r="AC124" s="3" t="n">
        <v>2465</v>
      </c>
      <c r="AD124" s="3" t="n">
        <v>4245</v>
      </c>
      <c r="AE124" s="3" t="n">
        <v>16</v>
      </c>
      <c r="AF124" s="3" t="n">
        <v>0</v>
      </c>
      <c r="AG124" s="3" t="n">
        <v>1</v>
      </c>
      <c r="AH124" s="3" t="n">
        <v>9.1978</v>
      </c>
      <c r="AI124" s="3" t="n">
        <v>42</v>
      </c>
      <c r="AJ124" s="2" t="n">
        <f aca="false">IF(V124="Optimal", 1, 0)</f>
        <v>0</v>
      </c>
      <c r="AK124" s="29" t="b">
        <f aca="false">IF(AJ124=1, W124-G124)</f>
        <v>0</v>
      </c>
      <c r="AL124" s="4" t="n">
        <f aca="false">IF(AND(AH124&lt;&gt;-1, G124&lt;&gt;"-", G124&lt;&gt;"."), ((G124-AH124)/G124)*100, -1)</f>
        <v>29.2476923076923</v>
      </c>
      <c r="AN124" s="5" t="n">
        <f aca="false">IF(AND(AO124=C124, A124=AP124), 1, 0)</f>
        <v>1</v>
      </c>
      <c r="AO124" s="5" t="s">
        <v>52</v>
      </c>
      <c r="AP124" s="5" t="n">
        <v>10</v>
      </c>
      <c r="AQ124" s="5" t="n">
        <v>3600</v>
      </c>
      <c r="AR124" s="5" t="n">
        <v>93</v>
      </c>
      <c r="AS124" s="5" t="n">
        <v>593</v>
      </c>
      <c r="AT124" s="28" t="n">
        <v>1454.91</v>
      </c>
      <c r="AU124" s="28" t="s">
        <v>51</v>
      </c>
      <c r="AV124" s="28" t="n">
        <v>80</v>
      </c>
      <c r="AW124" s="28" t="n">
        <v>80</v>
      </c>
      <c r="AX124" s="28" t="n">
        <v>13</v>
      </c>
      <c r="AY124" s="28" t="n">
        <v>844</v>
      </c>
      <c r="AZ124" s="28" t="n">
        <v>3426</v>
      </c>
      <c r="BA124" s="28" t="n">
        <v>1067</v>
      </c>
      <c r="BB124" s="6" t="n">
        <f aca="false">IF(AU124="Optimal", 1, 0)</f>
        <v>1</v>
      </c>
    </row>
    <row r="125" customFormat="false" ht="12.8" hidden="false" customHeight="false" outlineLevel="0" collapsed="false">
      <c r="A125" s="1" t="n">
        <v>10</v>
      </c>
      <c r="B125" s="23" t="s">
        <v>49</v>
      </c>
      <c r="C125" s="24" t="s">
        <v>55</v>
      </c>
      <c r="D125" s="32" t="n">
        <v>67</v>
      </c>
      <c r="E125" s="32" t="n">
        <v>232</v>
      </c>
      <c r="F125" s="32" t="n">
        <v>32</v>
      </c>
      <c r="G125" s="25" t="n">
        <v>12</v>
      </c>
      <c r="H125" s="26" t="n">
        <v>1</v>
      </c>
      <c r="I125" s="26" t="s">
        <v>53</v>
      </c>
      <c r="J125" s="26" t="n">
        <f aca="false">IF(I125="tl", 0, 1)</f>
        <v>0</v>
      </c>
      <c r="K125" s="26" t="n">
        <v>48.54</v>
      </c>
      <c r="L125" s="26" t="n">
        <f aca="false">IF(K125="tl", 0, 1)</f>
        <v>1</v>
      </c>
      <c r="M125" s="26" t="n">
        <v>2.8</v>
      </c>
      <c r="N125" s="26" t="n">
        <f aca="false">IF(M125="tl", 0, 1)</f>
        <v>1</v>
      </c>
      <c r="O125" s="26"/>
      <c r="P125" s="23" t="n">
        <v>0</v>
      </c>
      <c r="Q125" s="23"/>
      <c r="R125" s="2" t="n">
        <f aca="false">IF(S125=C125, 1, 0)</f>
        <v>1</v>
      </c>
      <c r="S125" s="27" t="s">
        <v>55</v>
      </c>
      <c r="T125" s="27" t="n">
        <v>67</v>
      </c>
      <c r="U125" s="27" t="n">
        <v>232</v>
      </c>
      <c r="V125" s="3" t="s">
        <v>51</v>
      </c>
      <c r="W125" s="3" t="n">
        <v>12</v>
      </c>
      <c r="X125" s="3" t="n">
        <v>12</v>
      </c>
      <c r="Y125" s="3" t="n">
        <v>5.67695</v>
      </c>
      <c r="Z125" s="3" t="n">
        <v>3.02184</v>
      </c>
      <c r="AA125" s="3" t="n">
        <v>491</v>
      </c>
      <c r="AB125" s="3" t="n">
        <v>9</v>
      </c>
      <c r="AC125" s="3" t="n">
        <v>995</v>
      </c>
      <c r="AD125" s="3" t="n">
        <v>1692</v>
      </c>
      <c r="AE125" s="3" t="n">
        <v>6</v>
      </c>
      <c r="AF125" s="3" t="n">
        <v>0</v>
      </c>
      <c r="AG125" s="3" t="n">
        <v>4</v>
      </c>
      <c r="AH125" s="3" t="n">
        <v>9.27692</v>
      </c>
      <c r="AI125" s="3" t="n">
        <v>28</v>
      </c>
      <c r="AJ125" s="2" t="n">
        <f aca="false">IF(V125="Optimal", 1, 0)</f>
        <v>1</v>
      </c>
      <c r="AK125" s="3" t="n">
        <f aca="false">IF(AJ125=1, W125-G125)</f>
        <v>0</v>
      </c>
      <c r="AL125" s="4" t="n">
        <f aca="false">IF(AND(AH125&lt;&gt;-1, G125&lt;&gt;"-", G125&lt;&gt;"."), ((G125-AH125)/G125)*100, -1)</f>
        <v>22.6923333333333</v>
      </c>
      <c r="AN125" s="5" t="n">
        <f aca="false">IF(AND(AO125=C125, A125=AP125), 1, 0)</f>
        <v>1</v>
      </c>
      <c r="AO125" s="5" t="s">
        <v>55</v>
      </c>
      <c r="AP125" s="5" t="n">
        <v>10</v>
      </c>
      <c r="AQ125" s="5" t="n">
        <v>3600</v>
      </c>
      <c r="AR125" s="5" t="n">
        <v>67</v>
      </c>
      <c r="AS125" s="5" t="n">
        <v>232</v>
      </c>
      <c r="AT125" s="28" t="n">
        <v>696.941</v>
      </c>
      <c r="AU125" s="28" t="s">
        <v>51</v>
      </c>
      <c r="AV125" s="28" t="n">
        <v>55</v>
      </c>
      <c r="AW125" s="28" t="n">
        <v>55</v>
      </c>
      <c r="AX125" s="28" t="n">
        <v>12</v>
      </c>
      <c r="AY125" s="28" t="n">
        <v>591</v>
      </c>
      <c r="AZ125" s="28" t="n">
        <v>1557</v>
      </c>
      <c r="BA125" s="28" t="n">
        <v>3846</v>
      </c>
      <c r="BB125" s="6" t="n">
        <f aca="false">IF(AU125="Optimal", 1, 0)</f>
        <v>1</v>
      </c>
    </row>
    <row r="126" customFormat="false" ht="12.8" hidden="false" customHeight="false" outlineLevel="0" collapsed="false">
      <c r="A126" s="1" t="n">
        <v>10</v>
      </c>
      <c r="B126" s="23" t="s">
        <v>49</v>
      </c>
      <c r="C126" s="24" t="s">
        <v>56</v>
      </c>
      <c r="D126" s="32" t="n">
        <v>52</v>
      </c>
      <c r="E126" s="32" t="n">
        <v>201</v>
      </c>
      <c r="F126" s="32" t="n">
        <v>25</v>
      </c>
      <c r="G126" s="25" t="n">
        <v>13</v>
      </c>
      <c r="H126" s="26" t="n">
        <v>1</v>
      </c>
      <c r="I126" s="26" t="n">
        <v>1329.02</v>
      </c>
      <c r="J126" s="26" t="n">
        <f aca="false">IF(I126="tl", 0, 1)</f>
        <v>1</v>
      </c>
      <c r="K126" s="26" t="n">
        <v>34.25</v>
      </c>
      <c r="L126" s="26" t="n">
        <f aca="false">IF(K126="tl", 0, 1)</f>
        <v>1</v>
      </c>
      <c r="M126" s="26" t="n">
        <v>1.34</v>
      </c>
      <c r="N126" s="26" t="n">
        <f aca="false">IF(M126="tl", 0, 1)</f>
        <v>1</v>
      </c>
      <c r="O126" s="26"/>
      <c r="P126" s="23" t="n">
        <v>0</v>
      </c>
      <c r="Q126" s="23"/>
      <c r="R126" s="2" t="n">
        <f aca="false">IF(S126=C126, 1, 0)</f>
        <v>1</v>
      </c>
      <c r="S126" s="27" t="s">
        <v>56</v>
      </c>
      <c r="T126" s="27" t="n">
        <v>52</v>
      </c>
      <c r="U126" s="27" t="n">
        <v>201</v>
      </c>
      <c r="V126" s="3" t="s">
        <v>54</v>
      </c>
      <c r="W126" s="3" t="n">
        <v>13</v>
      </c>
      <c r="X126" s="3" t="n">
        <v>10.5</v>
      </c>
      <c r="Y126" s="3" t="n">
        <v>1800.09</v>
      </c>
      <c r="Z126" s="3" t="n">
        <v>1172.98</v>
      </c>
      <c r="AA126" s="3" t="n">
        <v>23784</v>
      </c>
      <c r="AB126" s="3" t="n">
        <v>32</v>
      </c>
      <c r="AC126" s="3" t="n">
        <v>856</v>
      </c>
      <c r="AD126" s="3" t="n">
        <v>1460</v>
      </c>
      <c r="AE126" s="3" t="n">
        <v>5</v>
      </c>
      <c r="AF126" s="3" t="n">
        <v>0</v>
      </c>
      <c r="AG126" s="3" t="n">
        <v>13</v>
      </c>
      <c r="AH126" s="3" t="n">
        <v>9.36</v>
      </c>
      <c r="AI126" s="3" t="n">
        <v>29</v>
      </c>
      <c r="AJ126" s="2" t="n">
        <f aca="false">IF(V126="Optimal", 1, 0)</f>
        <v>0</v>
      </c>
      <c r="AK126" s="29" t="b">
        <f aca="false">IF(AJ126=1, W126-G126)</f>
        <v>0</v>
      </c>
      <c r="AL126" s="4" t="n">
        <f aca="false">IF(AND(AH126&lt;&gt;-1, G126&lt;&gt;"-", G126&lt;&gt;"."), ((G126-AH126)/G126)*100, -1)</f>
        <v>28</v>
      </c>
      <c r="AN126" s="5" t="n">
        <f aca="false">IF(AND(AO126=C126, A126=AP126), 1, 0)</f>
        <v>1</v>
      </c>
      <c r="AO126" s="5" t="s">
        <v>56</v>
      </c>
      <c r="AP126" s="5" t="n">
        <v>10</v>
      </c>
      <c r="AQ126" s="5" t="n">
        <v>3600</v>
      </c>
      <c r="AR126" s="5" t="n">
        <v>52</v>
      </c>
      <c r="AS126" s="5" t="n">
        <v>201</v>
      </c>
      <c r="AT126" s="28" t="n">
        <v>258.571</v>
      </c>
      <c r="AU126" s="28" t="s">
        <v>51</v>
      </c>
      <c r="AV126" s="28" t="n">
        <v>39</v>
      </c>
      <c r="AW126" s="28" t="n">
        <v>39</v>
      </c>
      <c r="AX126" s="28" t="n">
        <v>13</v>
      </c>
      <c r="AY126" s="28" t="n">
        <v>421</v>
      </c>
      <c r="AZ126" s="28" t="n">
        <v>1465</v>
      </c>
      <c r="BA126" s="28" t="n">
        <v>2209</v>
      </c>
      <c r="BB126" s="6" t="n">
        <f aca="false">IF(AU126="Optimal", 1, 0)</f>
        <v>1</v>
      </c>
    </row>
    <row r="127" customFormat="false" ht="12.8" hidden="false" customHeight="false" outlineLevel="0" collapsed="false">
      <c r="A127" s="1" t="n">
        <v>10</v>
      </c>
      <c r="B127" s="23" t="s">
        <v>49</v>
      </c>
      <c r="C127" s="24" t="s">
        <v>57</v>
      </c>
      <c r="D127" s="32" t="n">
        <v>37</v>
      </c>
      <c r="E127" s="32" t="n">
        <v>72</v>
      </c>
      <c r="F127" s="32" t="n">
        <v>18</v>
      </c>
      <c r="G127" s="25" t="n">
        <v>10</v>
      </c>
      <c r="H127" s="26" t="n">
        <v>1</v>
      </c>
      <c r="I127" s="26" t="n">
        <v>51.14</v>
      </c>
      <c r="J127" s="26" t="n">
        <f aca="false">IF(I127="tl", 0, 1)</f>
        <v>1</v>
      </c>
      <c r="K127" s="26" t="n">
        <v>21.97</v>
      </c>
      <c r="L127" s="26" t="n">
        <f aca="false">IF(K127="tl", 0, 1)</f>
        <v>1</v>
      </c>
      <c r="M127" s="26" t="n">
        <v>0.25</v>
      </c>
      <c r="N127" s="26" t="n">
        <f aca="false">IF(M127="tl", 0, 1)</f>
        <v>1</v>
      </c>
      <c r="O127" s="26"/>
      <c r="P127" s="23" t="n">
        <v>0</v>
      </c>
      <c r="Q127" s="23"/>
      <c r="R127" s="2" t="n">
        <f aca="false">IF(S127=C127, 1, 0)</f>
        <v>1</v>
      </c>
      <c r="S127" s="27" t="s">
        <v>57</v>
      </c>
      <c r="T127" s="27" t="n">
        <v>37</v>
      </c>
      <c r="U127" s="27" t="n">
        <v>72</v>
      </c>
      <c r="V127" s="3" t="s">
        <v>51</v>
      </c>
      <c r="W127" s="3" t="n">
        <v>10</v>
      </c>
      <c r="X127" s="3" t="n">
        <v>10</v>
      </c>
      <c r="Y127" s="3" t="n">
        <v>0.200627</v>
      </c>
      <c r="Z127" s="3" t="n">
        <v>0.078293</v>
      </c>
      <c r="AA127" s="3" t="n">
        <v>113</v>
      </c>
      <c r="AB127" s="3" t="n">
        <v>2</v>
      </c>
      <c r="AC127" s="3" t="n">
        <v>325</v>
      </c>
      <c r="AD127" s="3" t="n">
        <v>542</v>
      </c>
      <c r="AE127" s="3" t="n">
        <v>2</v>
      </c>
      <c r="AF127" s="3" t="n">
        <v>0</v>
      </c>
      <c r="AG127" s="3" t="n">
        <v>1</v>
      </c>
      <c r="AH127" s="3" t="n">
        <v>9.51429</v>
      </c>
      <c r="AI127" s="3" t="n">
        <v>20</v>
      </c>
      <c r="AJ127" s="2" t="n">
        <f aca="false">IF(V127="Optimal", 1, 0)</f>
        <v>1</v>
      </c>
      <c r="AK127" s="3" t="n">
        <f aca="false">IF(AJ127=1, W127-G127)</f>
        <v>0</v>
      </c>
      <c r="AL127" s="4" t="n">
        <f aca="false">IF(AND(AH127&lt;&gt;-1, G127&lt;&gt;"-", G127&lt;&gt;"."), ((G127-AH127)/G127)*100, -1)</f>
        <v>4.85709999999999</v>
      </c>
      <c r="AN127" s="5" t="n">
        <f aca="false">IF(AND(AO127=C127, A127=AP127), 1, 0)</f>
        <v>1</v>
      </c>
      <c r="AO127" s="5" t="s">
        <v>57</v>
      </c>
      <c r="AP127" s="5" t="n">
        <v>10</v>
      </c>
      <c r="AQ127" s="5" t="n">
        <v>3600</v>
      </c>
      <c r="AR127" s="5" t="n">
        <v>37</v>
      </c>
      <c r="AS127" s="5" t="n">
        <v>72</v>
      </c>
      <c r="AT127" s="28" t="n">
        <v>109.075</v>
      </c>
      <c r="AU127" s="28" t="s">
        <v>51</v>
      </c>
      <c r="AV127" s="28" t="n">
        <v>27</v>
      </c>
      <c r="AW127" s="28" t="n">
        <v>27</v>
      </c>
      <c r="AX127" s="28" t="n">
        <v>10</v>
      </c>
      <c r="AY127" s="28" t="n">
        <v>294</v>
      </c>
      <c r="AZ127" s="28" t="n">
        <v>1220</v>
      </c>
      <c r="BA127" s="28" t="n">
        <v>3501</v>
      </c>
      <c r="BB127" s="6" t="n">
        <f aca="false">IF(AU127="Optimal", 1, 0)</f>
        <v>1</v>
      </c>
    </row>
    <row r="128" customFormat="false" ht="12.8" hidden="false" customHeight="false" outlineLevel="0" collapsed="false">
      <c r="A128" s="1" t="n">
        <v>10</v>
      </c>
      <c r="B128" s="23" t="s">
        <v>49</v>
      </c>
      <c r="C128" s="24" t="s">
        <v>58</v>
      </c>
      <c r="D128" s="32" t="n">
        <v>149</v>
      </c>
      <c r="E128" s="32" t="n">
        <v>541</v>
      </c>
      <c r="F128" s="32" t="n">
        <v>74</v>
      </c>
      <c r="G128" s="25" t="n">
        <v>11</v>
      </c>
      <c r="H128" s="26" t="n">
        <v>1</v>
      </c>
      <c r="I128" s="26" t="s">
        <v>53</v>
      </c>
      <c r="J128" s="26" t="n">
        <f aca="false">IF(I128="tl", 0, 1)</f>
        <v>0</v>
      </c>
      <c r="K128" s="26" t="s">
        <v>53</v>
      </c>
      <c r="L128" s="26" t="n">
        <f aca="false">IF(K128="tl", 0, 1)</f>
        <v>0</v>
      </c>
      <c r="M128" s="26" t="n">
        <v>163.67</v>
      </c>
      <c r="N128" s="26" t="n">
        <f aca="false">IF(M128="tl", 0, 1)</f>
        <v>1</v>
      </c>
      <c r="O128" s="26"/>
      <c r="P128" s="23" t="n">
        <v>0</v>
      </c>
      <c r="Q128" s="23"/>
      <c r="R128" s="2" t="n">
        <f aca="false">IF(S128=C128, 1, 0)</f>
        <v>1</v>
      </c>
      <c r="S128" s="27" t="s">
        <v>58</v>
      </c>
      <c r="T128" s="27" t="n">
        <v>149</v>
      </c>
      <c r="U128" s="27" t="n">
        <v>541</v>
      </c>
      <c r="V128" s="3" t="s">
        <v>51</v>
      </c>
      <c r="W128" s="3" t="n">
        <v>11</v>
      </c>
      <c r="X128" s="3" t="n">
        <v>11</v>
      </c>
      <c r="Y128" s="3" t="n">
        <v>32.5909</v>
      </c>
      <c r="Z128" s="3" t="n">
        <v>16.4334</v>
      </c>
      <c r="AA128" s="3" t="n">
        <v>1078</v>
      </c>
      <c r="AB128" s="3" t="n">
        <v>7</v>
      </c>
      <c r="AC128" s="3" t="n">
        <v>2313</v>
      </c>
      <c r="AD128" s="3" t="n">
        <v>3937</v>
      </c>
      <c r="AE128" s="3" t="n">
        <v>7</v>
      </c>
      <c r="AF128" s="3" t="n">
        <v>0</v>
      </c>
      <c r="AG128" s="3" t="n">
        <v>3</v>
      </c>
      <c r="AH128" s="3" t="n">
        <v>9.12245</v>
      </c>
      <c r="AI128" s="3" t="n">
        <v>50</v>
      </c>
      <c r="AJ128" s="2" t="n">
        <f aca="false">IF(V128="Optimal", 1, 0)</f>
        <v>1</v>
      </c>
      <c r="AK128" s="3" t="n">
        <f aca="false">IF(AJ128=1, W128-G128)</f>
        <v>0</v>
      </c>
      <c r="AL128" s="4" t="n">
        <f aca="false">IF(AND(AH128&lt;&gt;-1, G128&lt;&gt;"-", G128&lt;&gt;"."), ((G128-AH128)/G128)*100, -1)</f>
        <v>17.0686363636364</v>
      </c>
      <c r="AN128" s="5" t="n">
        <f aca="false">IF(AND(AO128=C128, A128=AP128), 1, 0)</f>
        <v>1</v>
      </c>
      <c r="AO128" s="5" t="s">
        <v>58</v>
      </c>
      <c r="AP128" s="5" t="n">
        <v>10</v>
      </c>
      <c r="AQ128" s="5" t="n">
        <v>3600</v>
      </c>
      <c r="AR128" s="5" t="n">
        <v>149</v>
      </c>
      <c r="AS128" s="5" t="n">
        <v>541</v>
      </c>
      <c r="AT128" s="28" t="n">
        <v>3600</v>
      </c>
      <c r="AU128" s="28" t="s">
        <v>54</v>
      </c>
      <c r="AV128" s="28" t="n">
        <v>144.875</v>
      </c>
      <c r="AW128" s="28" t="n">
        <v>138</v>
      </c>
      <c r="AX128" s="28" t="n">
        <v>11</v>
      </c>
      <c r="AY128" s="28" t="n">
        <v>1423</v>
      </c>
      <c r="AZ128" s="28" t="n">
        <v>5283</v>
      </c>
      <c r="BA128" s="28" t="n">
        <v>376</v>
      </c>
      <c r="BB128" s="6" t="n">
        <f aca="false">IF(AU128="Optimal", 1, 0)</f>
        <v>0</v>
      </c>
    </row>
    <row r="129" customFormat="false" ht="12.8" hidden="false" customHeight="false" outlineLevel="0" collapsed="false">
      <c r="A129" s="1" t="n">
        <v>10</v>
      </c>
      <c r="B129" s="23" t="s">
        <v>49</v>
      </c>
      <c r="C129" s="24" t="s">
        <v>59</v>
      </c>
      <c r="D129" s="32" t="n">
        <v>80</v>
      </c>
      <c r="E129" s="32" t="n">
        <v>346</v>
      </c>
      <c r="F129" s="32" t="n">
        <v>37</v>
      </c>
      <c r="G129" s="25" t="n">
        <v>14</v>
      </c>
      <c r="H129" s="26" t="n">
        <v>1</v>
      </c>
      <c r="I129" s="26" t="s">
        <v>53</v>
      </c>
      <c r="J129" s="26" t="n">
        <f aca="false">IF(I129="tl", 0, 1)</f>
        <v>0</v>
      </c>
      <c r="K129" s="26" t="s">
        <v>53</v>
      </c>
      <c r="L129" s="26" t="n">
        <f aca="false">IF(K129="tl", 0, 1)</f>
        <v>0</v>
      </c>
      <c r="M129" s="26" t="n">
        <v>39.64</v>
      </c>
      <c r="N129" s="26" t="n">
        <f aca="false">IF(M129="tl", 0, 1)</f>
        <v>1</v>
      </c>
      <c r="O129" s="26"/>
      <c r="P129" s="23" t="n">
        <v>0</v>
      </c>
      <c r="Q129" s="23"/>
      <c r="R129" s="2" t="n">
        <f aca="false">IF(S129=C129, 1, 0)</f>
        <v>1</v>
      </c>
      <c r="S129" s="27" t="s">
        <v>59</v>
      </c>
      <c r="T129" s="27" t="n">
        <v>80</v>
      </c>
      <c r="U129" s="27" t="n">
        <v>346</v>
      </c>
      <c r="V129" s="3" t="s">
        <v>54</v>
      </c>
      <c r="W129" s="3" t="n">
        <v>35</v>
      </c>
      <c r="X129" s="3" t="n">
        <v>9.23077</v>
      </c>
      <c r="Y129" s="3" t="n">
        <v>1800</v>
      </c>
      <c r="Z129" s="3" t="n">
        <v>139.031</v>
      </c>
      <c r="AA129" s="3" t="n">
        <v>13139</v>
      </c>
      <c r="AB129" s="3" t="n">
        <v>3</v>
      </c>
      <c r="AC129" s="3" t="n">
        <v>1464</v>
      </c>
      <c r="AD129" s="3" t="n">
        <v>2503</v>
      </c>
      <c r="AE129" s="3" t="n">
        <v>8</v>
      </c>
      <c r="AF129" s="3" t="n">
        <v>0</v>
      </c>
      <c r="AG129" s="3" t="n">
        <v>1</v>
      </c>
      <c r="AH129" s="3" t="n">
        <v>9.23077</v>
      </c>
      <c r="AI129" s="3" t="n">
        <v>35</v>
      </c>
      <c r="AJ129" s="2" t="n">
        <f aca="false">IF(V129="Optimal", 1, 0)</f>
        <v>0</v>
      </c>
      <c r="AK129" s="29" t="b">
        <f aca="false">IF(AJ129=1, W129-G129)</f>
        <v>0</v>
      </c>
      <c r="AL129" s="4" t="n">
        <f aca="false">IF(AND(AH129&lt;&gt;-1, G129&lt;&gt;"-", G129&lt;&gt;"."), ((G129-AH129)/G129)*100, -1)</f>
        <v>34.0659285714286</v>
      </c>
      <c r="AN129" s="5" t="n">
        <f aca="false">IF(AND(AO129=C129, A129=AP129), 1, 0)</f>
        <v>1</v>
      </c>
      <c r="AO129" s="5" t="s">
        <v>59</v>
      </c>
      <c r="AP129" s="5" t="n">
        <v>10</v>
      </c>
      <c r="AQ129" s="5" t="n">
        <v>3600</v>
      </c>
      <c r="AR129" s="5" t="n">
        <v>80</v>
      </c>
      <c r="AS129" s="5" t="n">
        <v>346</v>
      </c>
      <c r="AT129" s="28" t="n">
        <v>3543.05</v>
      </c>
      <c r="AU129" s="28" t="s">
        <v>51</v>
      </c>
      <c r="AV129" s="28" t="n">
        <v>66</v>
      </c>
      <c r="AW129" s="28" t="n">
        <v>66</v>
      </c>
      <c r="AX129" s="28" t="n">
        <v>14</v>
      </c>
      <c r="AY129" s="28" t="n">
        <v>710</v>
      </c>
      <c r="AZ129" s="28" t="n">
        <v>1666</v>
      </c>
      <c r="BA129" s="28" t="n">
        <v>11706</v>
      </c>
      <c r="BB129" s="6" t="n">
        <f aca="false">IF(AU129="Optimal", 1, 0)</f>
        <v>1</v>
      </c>
    </row>
    <row r="130" customFormat="false" ht="12.8" hidden="false" customHeight="false" outlineLevel="0" collapsed="false">
      <c r="A130" s="1" t="n">
        <v>10</v>
      </c>
      <c r="B130" s="23" t="s">
        <v>49</v>
      </c>
      <c r="C130" s="24" t="s">
        <v>60</v>
      </c>
      <c r="D130" s="32" t="n">
        <v>56</v>
      </c>
      <c r="E130" s="32" t="n">
        <v>110</v>
      </c>
      <c r="F130" s="32" t="n">
        <v>27</v>
      </c>
      <c r="G130" s="25" t="n">
        <v>11</v>
      </c>
      <c r="H130" s="26" t="n">
        <v>1</v>
      </c>
      <c r="I130" s="26" t="s">
        <v>53</v>
      </c>
      <c r="J130" s="26" t="n">
        <f aca="false">IF(I130="tl", 0, 1)</f>
        <v>0</v>
      </c>
      <c r="K130" s="26" t="n">
        <v>24.88</v>
      </c>
      <c r="L130" s="26" t="n">
        <f aca="false">IF(K130="tl", 0, 1)</f>
        <v>1</v>
      </c>
      <c r="M130" s="26" t="n">
        <v>1.73</v>
      </c>
      <c r="N130" s="26" t="n">
        <f aca="false">IF(M130="tl", 0, 1)</f>
        <v>1</v>
      </c>
      <c r="O130" s="26"/>
      <c r="P130" s="23" t="n">
        <v>0</v>
      </c>
      <c r="Q130" s="23"/>
      <c r="R130" s="2" t="n">
        <f aca="false">IF(S130=C130, 1, 0)</f>
        <v>1</v>
      </c>
      <c r="S130" s="27" t="s">
        <v>60</v>
      </c>
      <c r="T130" s="27" t="n">
        <v>56</v>
      </c>
      <c r="U130" s="27" t="n">
        <v>110</v>
      </c>
      <c r="V130" s="3" t="s">
        <v>51</v>
      </c>
      <c r="W130" s="3" t="n">
        <v>11</v>
      </c>
      <c r="X130" s="3" t="n">
        <v>11</v>
      </c>
      <c r="Y130" s="3" t="n">
        <v>2.90556</v>
      </c>
      <c r="Z130" s="3" t="n">
        <v>1.93807</v>
      </c>
      <c r="AA130" s="3" t="n">
        <v>318</v>
      </c>
      <c r="AB130" s="3" t="n">
        <v>19</v>
      </c>
      <c r="AC130" s="3" t="n">
        <v>496</v>
      </c>
      <c r="AD130" s="3" t="n">
        <v>827</v>
      </c>
      <c r="AE130" s="3" t="n">
        <v>6</v>
      </c>
      <c r="AF130" s="3" t="n">
        <v>0</v>
      </c>
      <c r="AG130" s="3" t="n">
        <v>12</v>
      </c>
      <c r="AH130" s="3" t="n">
        <v>9.33333</v>
      </c>
      <c r="AI130" s="3" t="n">
        <v>19</v>
      </c>
      <c r="AJ130" s="2" t="n">
        <f aca="false">IF(V130="Optimal", 1, 0)</f>
        <v>1</v>
      </c>
      <c r="AK130" s="3" t="n">
        <f aca="false">IF(AJ130=1, W130-G130)</f>
        <v>0</v>
      </c>
      <c r="AL130" s="4" t="n">
        <f aca="false">IF(AND(AH130&lt;&gt;-1, G130&lt;&gt;"-", G130&lt;&gt;"."), ((G130-AH130)/G130)*100, -1)</f>
        <v>15.1515454545455</v>
      </c>
      <c r="AN130" s="5" t="n">
        <f aca="false">IF(AND(AO130=C130, A130=AP130), 1, 0)</f>
        <v>1</v>
      </c>
      <c r="AO130" s="5" t="s">
        <v>60</v>
      </c>
      <c r="AP130" s="5" t="n">
        <v>10</v>
      </c>
      <c r="AQ130" s="5" t="n">
        <v>3600</v>
      </c>
      <c r="AR130" s="5" t="n">
        <v>56</v>
      </c>
      <c r="AS130" s="5" t="n">
        <v>110</v>
      </c>
      <c r="AT130" s="28" t="n">
        <v>1958.76</v>
      </c>
      <c r="AU130" s="28" t="s">
        <v>51</v>
      </c>
      <c r="AV130" s="28" t="n">
        <v>45</v>
      </c>
      <c r="AW130" s="28" t="n">
        <v>45</v>
      </c>
      <c r="AX130" s="28" t="n">
        <v>11</v>
      </c>
      <c r="AY130" s="28" t="n">
        <v>480</v>
      </c>
      <c r="AZ130" s="28" t="n">
        <v>936</v>
      </c>
      <c r="BA130" s="28" t="n">
        <v>67662</v>
      </c>
      <c r="BB130" s="6" t="n">
        <f aca="false">IF(AU130="Optimal", 1, 0)</f>
        <v>1</v>
      </c>
    </row>
    <row r="131" customFormat="false" ht="12.8" hidden="false" customHeight="false" outlineLevel="0" collapsed="false">
      <c r="A131" s="1" t="n">
        <v>10</v>
      </c>
      <c r="B131" s="23" t="s">
        <v>49</v>
      </c>
      <c r="C131" s="24" t="s">
        <v>61</v>
      </c>
      <c r="D131" s="32" t="n">
        <v>114</v>
      </c>
      <c r="E131" s="32" t="n">
        <v>541</v>
      </c>
      <c r="F131" s="32" t="n">
        <v>55</v>
      </c>
      <c r="G131" s="25" t="n">
        <v>15</v>
      </c>
      <c r="H131" s="26" t="n">
        <v>1</v>
      </c>
      <c r="I131" s="26" t="s">
        <v>53</v>
      </c>
      <c r="J131" s="26" t="n">
        <f aca="false">IF(I131="tl", 0, 1)</f>
        <v>0</v>
      </c>
      <c r="K131" s="26" t="s">
        <v>53</v>
      </c>
      <c r="L131" s="26" t="n">
        <f aca="false">IF(K131="tl", 0, 1)</f>
        <v>0</v>
      </c>
      <c r="M131" s="26" t="n">
        <v>829.77</v>
      </c>
      <c r="N131" s="26" t="n">
        <f aca="false">IF(M131="tl", 0, 1)</f>
        <v>1</v>
      </c>
      <c r="O131" s="26"/>
      <c r="P131" s="23" t="n">
        <v>0</v>
      </c>
      <c r="Q131" s="23"/>
      <c r="R131" s="2" t="n">
        <f aca="false">IF(S131=C131, 1, 0)</f>
        <v>1</v>
      </c>
      <c r="S131" s="27" t="s">
        <v>61</v>
      </c>
      <c r="T131" s="27" t="n">
        <v>114</v>
      </c>
      <c r="U131" s="27" t="n">
        <v>541</v>
      </c>
      <c r="V131" s="3" t="s">
        <v>54</v>
      </c>
      <c r="W131" s="3" t="n">
        <v>43</v>
      </c>
      <c r="X131" s="3" t="n">
        <v>9.16071</v>
      </c>
      <c r="Y131" s="3" t="n">
        <v>1800.02</v>
      </c>
      <c r="Z131" s="3" t="n">
        <v>370.151</v>
      </c>
      <c r="AA131" s="3" t="n">
        <v>12111</v>
      </c>
      <c r="AB131" s="3" t="n">
        <v>2</v>
      </c>
      <c r="AC131" s="3" t="n">
        <v>2278</v>
      </c>
      <c r="AD131" s="3" t="n">
        <v>3902</v>
      </c>
      <c r="AE131" s="3" t="n">
        <v>10</v>
      </c>
      <c r="AF131" s="3" t="n">
        <v>0</v>
      </c>
      <c r="AG131" s="3" t="n">
        <v>1</v>
      </c>
      <c r="AH131" s="3" t="n">
        <v>9.16071</v>
      </c>
      <c r="AI131" s="3" t="n">
        <v>43</v>
      </c>
      <c r="AJ131" s="2" t="n">
        <f aca="false">IF(V131="Optimal", 1, 0)</f>
        <v>0</v>
      </c>
      <c r="AK131" s="29" t="b">
        <f aca="false">IF(AJ131=1, W131-G131)</f>
        <v>0</v>
      </c>
      <c r="AL131" s="4" t="n">
        <f aca="false">IF(AND(AH131&lt;&gt;-1, G131&lt;&gt;"-", G131&lt;&gt;"."), ((G131-AH131)/G131)*100, -1)</f>
        <v>38.9286</v>
      </c>
      <c r="AN131" s="5" t="n">
        <f aca="false">IF(AND(AO131=C131, A131=AP131), 1, 0)</f>
        <v>1</v>
      </c>
      <c r="AO131" s="5" t="s">
        <v>61</v>
      </c>
      <c r="AP131" s="5" t="n">
        <v>10</v>
      </c>
      <c r="AQ131" s="5" t="n">
        <v>3600</v>
      </c>
      <c r="AR131" s="5" t="n">
        <v>114</v>
      </c>
      <c r="AS131" s="5" t="n">
        <v>541</v>
      </c>
      <c r="AT131" s="28" t="n">
        <v>3600.01</v>
      </c>
      <c r="AU131" s="28" t="s">
        <v>54</v>
      </c>
      <c r="AV131" s="28" t="n">
        <v>108.752</v>
      </c>
      <c r="AW131" s="28" t="n">
        <v>99</v>
      </c>
      <c r="AX131" s="28" t="n">
        <v>15</v>
      </c>
      <c r="AY131" s="28" t="n">
        <v>1053</v>
      </c>
      <c r="AZ131" s="28" t="n">
        <v>5955</v>
      </c>
      <c r="BA131" s="28" t="n">
        <v>631</v>
      </c>
      <c r="BB131" s="6" t="n">
        <f aca="false">IF(AU131="Optimal", 1, 0)</f>
        <v>0</v>
      </c>
    </row>
    <row r="132" customFormat="false" ht="12.8" hidden="false" customHeight="false" outlineLevel="0" collapsed="false">
      <c r="A132" s="1" t="n">
        <v>10</v>
      </c>
      <c r="B132" s="23" t="s">
        <v>49</v>
      </c>
      <c r="C132" s="24" t="s">
        <v>62</v>
      </c>
      <c r="D132" s="32" t="n">
        <v>79</v>
      </c>
      <c r="E132" s="32" t="n">
        <v>156</v>
      </c>
      <c r="F132" s="32" t="n">
        <v>39</v>
      </c>
      <c r="G132" s="25" t="n">
        <v>11</v>
      </c>
      <c r="H132" s="26" t="n">
        <v>1</v>
      </c>
      <c r="I132" s="26" t="s">
        <v>53</v>
      </c>
      <c r="J132" s="26" t="n">
        <f aca="false">IF(I132="tl", 0, 1)</f>
        <v>0</v>
      </c>
      <c r="K132" s="26" t="n">
        <v>34.23</v>
      </c>
      <c r="L132" s="26" t="n">
        <f aca="false">IF(K132="tl", 0, 1)</f>
        <v>1</v>
      </c>
      <c r="M132" s="26" t="n">
        <v>13.72</v>
      </c>
      <c r="N132" s="26" t="n">
        <f aca="false">IF(M132="tl", 0, 1)</f>
        <v>1</v>
      </c>
      <c r="O132" s="26"/>
      <c r="P132" s="23" t="n">
        <v>0</v>
      </c>
      <c r="Q132" s="23"/>
      <c r="R132" s="2" t="n">
        <f aca="false">IF(S132=C132, 1, 0)</f>
        <v>1</v>
      </c>
      <c r="S132" s="27" t="s">
        <v>62</v>
      </c>
      <c r="T132" s="27" t="n">
        <v>79</v>
      </c>
      <c r="U132" s="27" t="n">
        <v>156</v>
      </c>
      <c r="V132" s="3" t="s">
        <v>51</v>
      </c>
      <c r="W132" s="3" t="n">
        <v>11</v>
      </c>
      <c r="X132" s="3" t="n">
        <v>11</v>
      </c>
      <c r="Y132" s="3" t="n">
        <v>20.2368</v>
      </c>
      <c r="Z132" s="3" t="n">
        <v>15.2814</v>
      </c>
      <c r="AA132" s="3" t="n">
        <v>751</v>
      </c>
      <c r="AB132" s="3" t="n">
        <v>18</v>
      </c>
      <c r="AC132" s="3" t="n">
        <v>703</v>
      </c>
      <c r="AD132" s="3" t="n">
        <v>1172</v>
      </c>
      <c r="AE132" s="3" t="n">
        <v>5</v>
      </c>
      <c r="AF132" s="3" t="n">
        <v>0</v>
      </c>
      <c r="AG132" s="3" t="n">
        <v>6</v>
      </c>
      <c r="AH132" s="3" t="n">
        <v>9.23377</v>
      </c>
      <c r="AI132" s="3" t="n">
        <v>26</v>
      </c>
      <c r="AJ132" s="2" t="n">
        <f aca="false">IF(V132="Optimal", 1, 0)</f>
        <v>1</v>
      </c>
      <c r="AK132" s="3" t="n">
        <f aca="false">IF(AJ132=1, W132-G132)</f>
        <v>0</v>
      </c>
      <c r="AL132" s="4" t="n">
        <f aca="false">IF(AND(AH132&lt;&gt;-1, G132&lt;&gt;"-", G132&lt;&gt;"."), ((G132-AH132)/G132)*100, -1)</f>
        <v>16.0566363636364</v>
      </c>
      <c r="AN132" s="5" t="n">
        <f aca="false">IF(AND(AO132=C132, A132=AP132), 1, 0)</f>
        <v>1</v>
      </c>
      <c r="AO132" s="5" t="s">
        <v>62</v>
      </c>
      <c r="AP132" s="5" t="n">
        <v>10</v>
      </c>
      <c r="AQ132" s="5" t="n">
        <v>3600</v>
      </c>
      <c r="AR132" s="5" t="n">
        <v>79</v>
      </c>
      <c r="AS132" s="5" t="n">
        <v>156</v>
      </c>
      <c r="AT132" s="28" t="n">
        <v>3600</v>
      </c>
      <c r="AU132" s="28" t="s">
        <v>54</v>
      </c>
      <c r="AV132" s="28" t="n">
        <v>72.5001</v>
      </c>
      <c r="AW132" s="28" t="n">
        <v>68</v>
      </c>
      <c r="AX132" s="28" t="n">
        <v>11</v>
      </c>
      <c r="AY132" s="28" t="n">
        <v>709</v>
      </c>
      <c r="AZ132" s="28" t="n">
        <v>3069</v>
      </c>
      <c r="BA132" s="28" t="n">
        <v>58474</v>
      </c>
      <c r="BB132" s="6" t="n">
        <f aca="false">IF(AU132="Optimal", 1, 0)</f>
        <v>0</v>
      </c>
    </row>
    <row r="133" customFormat="false" ht="12.8" hidden="false" customHeight="false" outlineLevel="0" collapsed="false">
      <c r="A133" s="1" t="n">
        <v>10</v>
      </c>
      <c r="B133" s="23" t="s">
        <v>49</v>
      </c>
      <c r="C133" s="24" t="s">
        <v>63</v>
      </c>
      <c r="D133" s="32" t="n">
        <v>154</v>
      </c>
      <c r="E133" s="32" t="n">
        <v>792</v>
      </c>
      <c r="F133" s="32" t="n">
        <v>72</v>
      </c>
      <c r="G133" s="25" t="n">
        <v>15</v>
      </c>
      <c r="H133" s="26" t="n">
        <v>1</v>
      </c>
      <c r="I133" s="26" t="s">
        <v>53</v>
      </c>
      <c r="J133" s="26" t="n">
        <f aca="false">IF(I133="tl", 0, 1)</f>
        <v>0</v>
      </c>
      <c r="K133" s="26" t="s">
        <v>53</v>
      </c>
      <c r="L133" s="26" t="n">
        <f aca="false">IF(K133="tl", 0, 1)</f>
        <v>0</v>
      </c>
      <c r="M133" s="26" t="n">
        <v>2161.91</v>
      </c>
      <c r="N133" s="26" t="n">
        <f aca="false">IF(M133="tl", 0, 1)</f>
        <v>1</v>
      </c>
      <c r="O133" s="26"/>
      <c r="P133" s="23" t="n">
        <v>0</v>
      </c>
      <c r="Q133" s="23"/>
      <c r="R133" s="2" t="n">
        <f aca="false">IF(S133=C133, 1, 0)</f>
        <v>1</v>
      </c>
      <c r="S133" s="27" t="s">
        <v>63</v>
      </c>
      <c r="T133" s="27" t="n">
        <v>154</v>
      </c>
      <c r="U133" s="27" t="n">
        <v>792</v>
      </c>
      <c r="V133" s="3" t="s">
        <v>54</v>
      </c>
      <c r="W133" s="3" t="n">
        <v>19</v>
      </c>
      <c r="X133" s="3" t="n">
        <v>9.64286</v>
      </c>
      <c r="Y133" s="3" t="n">
        <v>1800.02</v>
      </c>
      <c r="Z133" s="3" t="n">
        <v>702.374</v>
      </c>
      <c r="AA133" s="3" t="n">
        <v>11882</v>
      </c>
      <c r="AB133" s="3" t="n">
        <v>21</v>
      </c>
      <c r="AC133" s="3" t="n">
        <v>3322</v>
      </c>
      <c r="AD133" s="3" t="n">
        <v>5699</v>
      </c>
      <c r="AE133" s="3" t="n">
        <v>11</v>
      </c>
      <c r="AF133" s="3" t="n">
        <v>0</v>
      </c>
      <c r="AG133" s="3" t="n">
        <v>15</v>
      </c>
      <c r="AH133" s="3" t="n">
        <v>9.11842</v>
      </c>
      <c r="AI133" s="3" t="n">
        <v>63</v>
      </c>
      <c r="AJ133" s="2" t="n">
        <f aca="false">IF(V133="Optimal", 1, 0)</f>
        <v>0</v>
      </c>
      <c r="AK133" s="29" t="b">
        <f aca="false">IF(AJ133=1, W133-G133)</f>
        <v>0</v>
      </c>
      <c r="AL133" s="4" t="n">
        <f aca="false">IF(AND(AH133&lt;&gt;-1, G133&lt;&gt;"-", G133&lt;&gt;"."), ((G133-AH133)/G133)*100, -1)</f>
        <v>39.2105333333333</v>
      </c>
      <c r="AN133" s="5" t="n">
        <f aca="false">IF(AND(AO133=C133, A133=AP133), 1, 0)</f>
        <v>1</v>
      </c>
      <c r="AO133" s="5" t="s">
        <v>63</v>
      </c>
      <c r="AP133" s="5" t="n">
        <v>10</v>
      </c>
      <c r="AQ133" s="5" t="n">
        <v>3600</v>
      </c>
      <c r="AR133" s="5" t="n">
        <v>154</v>
      </c>
      <c r="AS133" s="5" t="n">
        <v>792</v>
      </c>
      <c r="AT133" s="28" t="n">
        <v>3600</v>
      </c>
      <c r="AU133" s="28" t="s">
        <v>54</v>
      </c>
      <c r="AV133" s="28" t="n">
        <v>149.355</v>
      </c>
      <c r="AW133" s="28" t="n">
        <v>135</v>
      </c>
      <c r="AX133" s="28" t="n">
        <v>19</v>
      </c>
      <c r="AY133" s="28" t="n">
        <v>1473</v>
      </c>
      <c r="AZ133" s="28" t="n">
        <v>8309</v>
      </c>
      <c r="BA133" s="28" t="n">
        <v>442</v>
      </c>
      <c r="BB133" s="6" t="n">
        <f aca="false">IF(AU133="Optimal", 1, 0)</f>
        <v>0</v>
      </c>
    </row>
    <row r="134" customFormat="false" ht="12.8" hidden="false" customHeight="false" outlineLevel="0" collapsed="false">
      <c r="A134" s="1" t="n">
        <v>10</v>
      </c>
      <c r="B134" s="23" t="s">
        <v>64</v>
      </c>
      <c r="C134" s="24" t="s">
        <v>65</v>
      </c>
      <c r="D134" s="32" t="n">
        <v>112</v>
      </c>
      <c r="E134" s="32" t="n">
        <v>425</v>
      </c>
      <c r="F134" s="32" t="n">
        <v>53</v>
      </c>
      <c r="G134" s="25" t="n">
        <v>6</v>
      </c>
      <c r="H134" s="26" t="n">
        <v>1</v>
      </c>
      <c r="I134" s="26" t="n">
        <v>82.85</v>
      </c>
      <c r="J134" s="26" t="n">
        <f aca="false">IF(I134="tl", 0, 1)</f>
        <v>1</v>
      </c>
      <c r="K134" s="26" t="n">
        <v>866.14</v>
      </c>
      <c r="L134" s="26" t="n">
        <f aca="false">IF(K134="tl", 0, 1)</f>
        <v>1</v>
      </c>
      <c r="M134" s="26" t="n">
        <v>2.98</v>
      </c>
      <c r="N134" s="26" t="n">
        <f aca="false">IF(M134="tl", 0, 1)</f>
        <v>1</v>
      </c>
      <c r="O134" s="26"/>
      <c r="P134" s="23" t="n">
        <v>0</v>
      </c>
      <c r="Q134" s="23"/>
      <c r="R134" s="2" t="n">
        <f aca="false">IF(S134=C134, 1, 0)</f>
        <v>1</v>
      </c>
      <c r="S134" s="27" t="s">
        <v>65</v>
      </c>
      <c r="T134" s="27" t="n">
        <v>112</v>
      </c>
      <c r="U134" s="27" t="n">
        <v>425</v>
      </c>
      <c r="V134" s="3" t="s">
        <v>51</v>
      </c>
      <c r="W134" s="3" t="n">
        <v>6</v>
      </c>
      <c r="X134" s="3" t="n">
        <v>6</v>
      </c>
      <c r="Y134" s="3" t="n">
        <v>287.198</v>
      </c>
      <c r="Z134" s="3" t="n">
        <v>24.0319</v>
      </c>
      <c r="AA134" s="3" t="n">
        <v>5472</v>
      </c>
      <c r="AB134" s="3" t="n">
        <v>10</v>
      </c>
      <c r="AC134" s="3" t="n">
        <v>1812</v>
      </c>
      <c r="AD134" s="3" t="n">
        <v>3088</v>
      </c>
      <c r="AE134" s="3" t="n">
        <v>18</v>
      </c>
      <c r="AF134" s="3" t="n">
        <v>0</v>
      </c>
      <c r="AG134" s="3" t="n">
        <v>7</v>
      </c>
      <c r="AH134" s="3" t="n">
        <v>5.86207</v>
      </c>
      <c r="AI134" s="3" t="n">
        <v>7</v>
      </c>
      <c r="AJ134" s="2" t="n">
        <f aca="false">IF(V134="Optimal", 1, 0)</f>
        <v>1</v>
      </c>
      <c r="AK134" s="3" t="n">
        <f aca="false">IF(AJ134=1, W134-G134)</f>
        <v>0</v>
      </c>
      <c r="AL134" s="4" t="n">
        <f aca="false">IF(AND(AH134&lt;&gt;-1, G134&lt;&gt;"-", G134&lt;&gt;"."), ((G134-AH134)/G134)*100, -1)</f>
        <v>2.29883333333333</v>
      </c>
      <c r="AN134" s="5" t="n">
        <f aca="false">IF(AND(AO134=C134, A134=AP134), 1, 0)</f>
        <v>1</v>
      </c>
      <c r="AO134" s="5" t="s">
        <v>65</v>
      </c>
      <c r="AP134" s="5" t="n">
        <v>10</v>
      </c>
      <c r="AQ134" s="5" t="n">
        <v>3600</v>
      </c>
      <c r="AR134" s="5" t="n">
        <v>112</v>
      </c>
      <c r="AS134" s="5" t="n">
        <v>425</v>
      </c>
      <c r="AT134" s="28" t="n">
        <v>261.342</v>
      </c>
      <c r="AU134" s="28" t="s">
        <v>51</v>
      </c>
      <c r="AV134" s="28" t="n">
        <v>106</v>
      </c>
      <c r="AW134" s="28" t="n">
        <v>106</v>
      </c>
      <c r="AX134" s="28" t="n">
        <v>6</v>
      </c>
      <c r="AY134" s="28" t="n">
        <v>1032</v>
      </c>
      <c r="AZ134" s="28" t="n">
        <v>2832</v>
      </c>
      <c r="BA134" s="28" t="n">
        <v>97</v>
      </c>
      <c r="BB134" s="6" t="n">
        <f aca="false">IF(AU134="Optimal", 1, 0)</f>
        <v>1</v>
      </c>
    </row>
    <row r="135" customFormat="false" ht="12.8" hidden="false" customHeight="false" outlineLevel="0" collapsed="false">
      <c r="A135" s="1" t="n">
        <v>10</v>
      </c>
      <c r="B135" s="23" t="s">
        <v>49</v>
      </c>
      <c r="C135" s="24" t="s">
        <v>66</v>
      </c>
      <c r="D135" s="32" t="n">
        <v>138</v>
      </c>
      <c r="E135" s="32" t="n">
        <v>493</v>
      </c>
      <c r="F135" s="32" t="n">
        <v>80</v>
      </c>
      <c r="G135" s="25" t="n">
        <v>1</v>
      </c>
      <c r="H135" s="26" t="n">
        <v>1</v>
      </c>
      <c r="I135" s="26" t="n">
        <v>0.26</v>
      </c>
      <c r="J135" s="26" t="n">
        <f aca="false">IF(I135="tl", 0, 1)</f>
        <v>1</v>
      </c>
      <c r="K135" s="26" t="n">
        <v>57.32</v>
      </c>
      <c r="L135" s="26" t="n">
        <f aca="false">IF(K135="tl", 0, 1)</f>
        <v>1</v>
      </c>
      <c r="M135" s="26" t="n">
        <v>0</v>
      </c>
      <c r="N135" s="26" t="n">
        <f aca="false">IF(M135="tl", 0, 1)</f>
        <v>1</v>
      </c>
      <c r="O135" s="26"/>
      <c r="P135" s="23" t="n">
        <v>0</v>
      </c>
      <c r="Q135" s="23"/>
      <c r="R135" s="2" t="n">
        <f aca="false">IF(S135=C135, 1, 0)</f>
        <v>1</v>
      </c>
      <c r="S135" s="27" t="s">
        <v>66</v>
      </c>
      <c r="T135" s="27" t="n">
        <v>138</v>
      </c>
      <c r="U135" s="27" t="n">
        <v>493</v>
      </c>
      <c r="V135" s="3" t="s">
        <v>54</v>
      </c>
      <c r="W135" s="3" t="n">
        <v>13</v>
      </c>
      <c r="X135" s="30" t="n">
        <v>1</v>
      </c>
      <c r="Y135" s="3" t="n">
        <v>1800</v>
      </c>
      <c r="Z135" s="3" t="n">
        <v>35.9595</v>
      </c>
      <c r="AA135" s="3" t="n">
        <v>7387</v>
      </c>
      <c r="AB135" s="3" t="n">
        <v>1</v>
      </c>
      <c r="AC135" s="3" t="n">
        <v>2110</v>
      </c>
      <c r="AD135" s="3" t="n">
        <v>3590</v>
      </c>
      <c r="AE135" s="3" t="n">
        <v>6756</v>
      </c>
      <c r="AF135" s="3" t="n">
        <v>0</v>
      </c>
      <c r="AG135" s="3" t="n">
        <v>0</v>
      </c>
      <c r="AH135" s="3" t="n">
        <v>-1</v>
      </c>
      <c r="AI135" s="3" t="n">
        <v>-1</v>
      </c>
      <c r="AJ135" s="2" t="n">
        <f aca="false">IF(V135="Optimal", 1, 0)</f>
        <v>0</v>
      </c>
      <c r="AK135" s="29" t="b">
        <f aca="false">IF(AJ135=1, W135-G135)</f>
        <v>0</v>
      </c>
      <c r="AL135" s="4" t="n">
        <f aca="false">IF(AND(AH135&lt;&gt;-1, G135&lt;&gt;"-", G135&lt;&gt;"."), ((G135-AH135)/G135)*100, -1)</f>
        <v>-1</v>
      </c>
      <c r="AN135" s="5" t="n">
        <f aca="false">IF(AND(AO135=C135, A135=AP135), 1, 0)</f>
        <v>1</v>
      </c>
      <c r="AO135" s="5" t="s">
        <v>66</v>
      </c>
      <c r="AP135" s="5" t="n">
        <v>10</v>
      </c>
      <c r="AQ135" s="5" t="n">
        <v>3600</v>
      </c>
      <c r="AR135" s="5" t="n">
        <v>138</v>
      </c>
      <c r="AS135" s="5" t="n">
        <v>493</v>
      </c>
      <c r="AT135" s="28" t="n">
        <v>39.258</v>
      </c>
      <c r="AU135" s="28" t="s">
        <v>51</v>
      </c>
      <c r="AV135" s="28" t="n">
        <v>137</v>
      </c>
      <c r="AW135" s="28" t="n">
        <v>137</v>
      </c>
      <c r="AX135" s="28" t="n">
        <v>1</v>
      </c>
      <c r="AY135" s="28" t="n">
        <v>1380</v>
      </c>
      <c r="AZ135" s="28" t="n">
        <v>5214</v>
      </c>
      <c r="BA135" s="28" t="n">
        <v>2</v>
      </c>
      <c r="BB135" s="6" t="n">
        <f aca="false">IF(AU135="Optimal", 1, 0)</f>
        <v>1</v>
      </c>
    </row>
    <row r="136" customFormat="false" ht="12.8" hidden="false" customHeight="false" outlineLevel="0" collapsed="false">
      <c r="A136" s="1" t="n">
        <v>10</v>
      </c>
      <c r="B136" s="23" t="s">
        <v>67</v>
      </c>
      <c r="C136" s="24" t="s">
        <v>69</v>
      </c>
      <c r="D136" s="32" t="n">
        <v>85</v>
      </c>
      <c r="E136" s="32" t="n">
        <v>219</v>
      </c>
      <c r="F136" s="32" t="n">
        <v>29</v>
      </c>
      <c r="G136" s="25" t="n">
        <v>16</v>
      </c>
      <c r="H136" s="26" t="n">
        <v>1</v>
      </c>
      <c r="I136" s="25" t="s">
        <v>53</v>
      </c>
      <c r="J136" s="26" t="n">
        <f aca="false">IF(I136="tl", 0, 1)</f>
        <v>0</v>
      </c>
      <c r="K136" s="25" t="n">
        <v>43.36</v>
      </c>
      <c r="L136" s="26" t="n">
        <f aca="false">IF(K136="tl", 0, 1)</f>
        <v>1</v>
      </c>
      <c r="M136" s="25" t="s">
        <v>53</v>
      </c>
      <c r="N136" s="26" t="n">
        <f aca="false">IF(M136="tl", 0, 1)</f>
        <v>0</v>
      </c>
      <c r="O136" s="26"/>
      <c r="P136" s="23" t="n">
        <v>0</v>
      </c>
      <c r="Q136" s="23"/>
      <c r="R136" s="2" t="n">
        <f aca="false">IF(S136=C136, 1, 0)</f>
        <v>1</v>
      </c>
      <c r="S136" s="27" t="s">
        <v>69</v>
      </c>
      <c r="T136" s="27" t="n">
        <v>85</v>
      </c>
      <c r="U136" s="27" t="n">
        <v>219</v>
      </c>
      <c r="V136" s="3" t="s">
        <v>54</v>
      </c>
      <c r="W136" s="3" t="n">
        <v>17</v>
      </c>
      <c r="X136" s="3" t="n">
        <v>12.4545</v>
      </c>
      <c r="Y136" s="3" t="n">
        <v>1800</v>
      </c>
      <c r="Z136" s="3" t="n">
        <v>1597.8</v>
      </c>
      <c r="AA136" s="3" t="n">
        <v>14513</v>
      </c>
      <c r="AB136" s="3" t="n">
        <v>362</v>
      </c>
      <c r="AC136" s="3" t="n">
        <v>961</v>
      </c>
      <c r="AD136" s="3" t="n">
        <v>1619</v>
      </c>
      <c r="AE136" s="3" t="n">
        <v>22</v>
      </c>
      <c r="AF136" s="3" t="n">
        <v>0</v>
      </c>
      <c r="AG136" s="3" t="n">
        <v>17</v>
      </c>
      <c r="AH136" s="3" t="n">
        <v>9.21687</v>
      </c>
      <c r="AI136" s="3" t="n">
        <v>42</v>
      </c>
      <c r="AJ136" s="2" t="n">
        <f aca="false">IF(V136="Optimal", 1, 0)</f>
        <v>0</v>
      </c>
      <c r="AK136" s="29" t="b">
        <f aca="false">IF(AJ136=1, W136-G136)</f>
        <v>0</v>
      </c>
      <c r="AL136" s="4" t="n">
        <f aca="false">IF(AND(AH136&lt;&gt;-1, G136&lt;&gt;"-", G136&lt;&gt;"."), ((G136-AH136)/G136)*100, -1)</f>
        <v>42.3945625</v>
      </c>
      <c r="AN136" s="5" t="n">
        <f aca="false">IF(AND(AO136=C136, A136=AP136), 1, 0)</f>
        <v>1</v>
      </c>
      <c r="AO136" s="5" t="s">
        <v>69</v>
      </c>
      <c r="AP136" s="5" t="n">
        <v>10</v>
      </c>
      <c r="AQ136" s="5" t="n">
        <v>3600</v>
      </c>
      <c r="AR136" s="5" t="n">
        <v>85</v>
      </c>
      <c r="AS136" s="5" t="n">
        <v>219</v>
      </c>
      <c r="AT136" s="28" t="n">
        <v>3600</v>
      </c>
      <c r="AU136" s="28" t="s">
        <v>54</v>
      </c>
      <c r="AV136" s="28" t="n">
        <v>79.3499</v>
      </c>
      <c r="AW136" s="28" t="n">
        <v>69</v>
      </c>
      <c r="AX136" s="28" t="n">
        <v>16</v>
      </c>
      <c r="AY136" s="28" t="n">
        <v>748</v>
      </c>
      <c r="AZ136" s="28" t="n">
        <v>2513</v>
      </c>
      <c r="BA136" s="28" t="n">
        <v>40286</v>
      </c>
      <c r="BB136" s="6" t="n">
        <f aca="false">IF(AU136="Optimal", 1, 0)</f>
        <v>0</v>
      </c>
    </row>
    <row r="137" customFormat="false" ht="12.8" hidden="false" customHeight="false" outlineLevel="0" collapsed="false">
      <c r="A137" s="1" t="n">
        <v>10</v>
      </c>
      <c r="B137" s="23" t="s">
        <v>67</v>
      </c>
      <c r="C137" s="24" t="s">
        <v>70</v>
      </c>
      <c r="D137" s="32" t="n">
        <v>104</v>
      </c>
      <c r="E137" s="32" t="n">
        <v>331</v>
      </c>
      <c r="F137" s="32" t="n">
        <v>30</v>
      </c>
      <c r="G137" s="25" t="n">
        <v>21</v>
      </c>
      <c r="H137" s="26" t="n">
        <v>1</v>
      </c>
      <c r="I137" s="25" t="s">
        <v>53</v>
      </c>
      <c r="J137" s="26" t="n">
        <f aca="false">IF(I137="tl", 0, 1)</f>
        <v>0</v>
      </c>
      <c r="K137" s="25" t="n">
        <v>534.41</v>
      </c>
      <c r="L137" s="26" t="n">
        <f aca="false">IF(K137="tl", 0, 1)</f>
        <v>1</v>
      </c>
      <c r="M137" s="25" t="s">
        <v>53</v>
      </c>
      <c r="N137" s="26" t="n">
        <f aca="false">IF(M137="tl", 0, 1)</f>
        <v>0</v>
      </c>
      <c r="O137" s="26"/>
      <c r="P137" s="23" t="n">
        <v>0</v>
      </c>
      <c r="Q137" s="23"/>
      <c r="R137" s="2" t="n">
        <f aca="false">IF(S137=C137, 1, 0)</f>
        <v>1</v>
      </c>
      <c r="S137" s="27" t="s">
        <v>70</v>
      </c>
      <c r="T137" s="27" t="n">
        <v>104</v>
      </c>
      <c r="U137" s="27" t="n">
        <v>331</v>
      </c>
      <c r="V137" s="3" t="s">
        <v>54</v>
      </c>
      <c r="W137" s="3" t="n">
        <v>21</v>
      </c>
      <c r="X137" s="3" t="n">
        <v>11.35</v>
      </c>
      <c r="Y137" s="3" t="n">
        <v>1800</v>
      </c>
      <c r="Z137" s="3" t="n">
        <v>1518.61</v>
      </c>
      <c r="AA137" s="3" t="n">
        <v>11022</v>
      </c>
      <c r="AB137" s="3" t="n">
        <v>400</v>
      </c>
      <c r="AC137" s="3" t="n">
        <v>1428</v>
      </c>
      <c r="AD137" s="3" t="n">
        <v>2422</v>
      </c>
      <c r="AE137" s="3" t="n">
        <v>36</v>
      </c>
      <c r="AF137" s="3" t="n">
        <v>0</v>
      </c>
      <c r="AG137" s="3" t="n">
        <v>29</v>
      </c>
      <c r="AH137" s="3" t="n">
        <v>9.17647</v>
      </c>
      <c r="AI137" s="3" t="n">
        <v>65</v>
      </c>
      <c r="AJ137" s="2" t="n">
        <f aca="false">IF(V137="Optimal", 1, 0)</f>
        <v>0</v>
      </c>
      <c r="AK137" s="29" t="b">
        <f aca="false">IF(AJ137=1, W137-G137)</f>
        <v>0</v>
      </c>
      <c r="AL137" s="4" t="n">
        <f aca="false">IF(AND(AH137&lt;&gt;-1, G137&lt;&gt;"-", G137&lt;&gt;"."), ((G137-AH137)/G137)*100, -1)</f>
        <v>56.3025238095238</v>
      </c>
      <c r="AN137" s="5" t="n">
        <f aca="false">IF(AND(AO137=C137, A137=AP137), 1, 0)</f>
        <v>1</v>
      </c>
      <c r="AO137" s="5" t="s">
        <v>70</v>
      </c>
      <c r="AP137" s="5" t="n">
        <v>10</v>
      </c>
      <c r="AQ137" s="5" t="n">
        <v>3600</v>
      </c>
      <c r="AR137" s="5" t="n">
        <v>104</v>
      </c>
      <c r="AS137" s="5" t="n">
        <v>331</v>
      </c>
      <c r="AT137" s="28" t="n">
        <v>3600</v>
      </c>
      <c r="AU137" s="28" t="s">
        <v>54</v>
      </c>
      <c r="AV137" s="28" t="n">
        <v>100.285</v>
      </c>
      <c r="AW137" s="28" t="n">
        <v>81</v>
      </c>
      <c r="AX137" s="28" t="n">
        <v>23</v>
      </c>
      <c r="AY137" s="28" t="n">
        <v>934</v>
      </c>
      <c r="AZ137" s="28" t="n">
        <v>3582</v>
      </c>
      <c r="BA137" s="28" t="n">
        <v>7513</v>
      </c>
      <c r="BB137" s="6" t="n">
        <f aca="false">IF(AU137="Optimal", 1, 0)</f>
        <v>0</v>
      </c>
    </row>
    <row r="138" customFormat="false" ht="12.8" hidden="false" customHeight="false" outlineLevel="0" collapsed="false">
      <c r="A138" s="1" t="n">
        <v>10</v>
      </c>
      <c r="B138" s="23" t="s">
        <v>67</v>
      </c>
      <c r="C138" s="24" t="s">
        <v>71</v>
      </c>
      <c r="D138" s="32" t="n">
        <v>85</v>
      </c>
      <c r="E138" s="32" t="n">
        <v>616</v>
      </c>
      <c r="F138" s="32" t="n">
        <v>14</v>
      </c>
      <c r="G138" s="25" t="s">
        <v>77</v>
      </c>
      <c r="H138" s="3" t="n">
        <v>0</v>
      </c>
      <c r="I138" s="25" t="s">
        <v>53</v>
      </c>
      <c r="J138" s="26" t="n">
        <f aca="false">IF(I138="tl", 0, 1)</f>
        <v>0</v>
      </c>
      <c r="K138" s="25" t="s">
        <v>53</v>
      </c>
      <c r="L138" s="26" t="n">
        <f aca="false">IF(K138="tl", 0, 1)</f>
        <v>0</v>
      </c>
      <c r="M138" s="25" t="s">
        <v>53</v>
      </c>
      <c r="N138" s="26" t="n">
        <f aca="false">IF(M138="tl", 0, 1)</f>
        <v>0</v>
      </c>
      <c r="O138" s="26"/>
      <c r="P138" s="23" t="n">
        <v>0</v>
      </c>
      <c r="Q138" s="23"/>
      <c r="R138" s="2" t="n">
        <f aca="false">IF(S138=C138, 1, 0)</f>
        <v>1</v>
      </c>
      <c r="S138" s="27" t="s">
        <v>71</v>
      </c>
      <c r="T138" s="27" t="n">
        <v>85</v>
      </c>
      <c r="U138" s="27" t="n">
        <v>616</v>
      </c>
      <c r="V138" s="3" t="s">
        <v>54</v>
      </c>
      <c r="W138" s="30" t="n">
        <v>68</v>
      </c>
      <c r="X138" s="3" t="n">
        <v>12</v>
      </c>
      <c r="Y138" s="3" t="n">
        <v>1800</v>
      </c>
      <c r="Z138" s="3" t="n">
        <v>1081.72</v>
      </c>
      <c r="AA138" s="3" t="n">
        <v>12664</v>
      </c>
      <c r="AB138" s="3" t="n">
        <v>211</v>
      </c>
      <c r="AC138" s="3" t="n">
        <v>2549</v>
      </c>
      <c r="AD138" s="3" t="n">
        <v>4398</v>
      </c>
      <c r="AE138" s="3" t="n">
        <v>4</v>
      </c>
      <c r="AF138" s="3" t="n">
        <v>0</v>
      </c>
      <c r="AG138" s="3" t="n">
        <v>55</v>
      </c>
      <c r="AH138" s="3" t="n">
        <v>9.21687</v>
      </c>
      <c r="AI138" s="30" t="n">
        <v>70</v>
      </c>
      <c r="AJ138" s="2" t="n">
        <f aca="false">IF(V138="Optimal", 1, 0)</f>
        <v>0</v>
      </c>
      <c r="AK138" s="29" t="b">
        <f aca="false">IF(AJ138=1, W138-G138)</f>
        <v>0</v>
      </c>
      <c r="AL138" s="4" t="n">
        <f aca="false">IF(AND(AH138&lt;&gt;-1, G138&lt;&gt;"-", G138&lt;&gt;"."), ((G138-AH138)/G138)*100, -1)</f>
        <v>-1</v>
      </c>
      <c r="AN138" s="5" t="n">
        <f aca="false">IF(AND(AO138=C138, A138=AP138), 1, 0)</f>
        <v>1</v>
      </c>
      <c r="AO138" s="5" t="s">
        <v>71</v>
      </c>
      <c r="AP138" s="5" t="n">
        <v>10</v>
      </c>
      <c r="AQ138" s="5" t="n">
        <v>3600</v>
      </c>
      <c r="AR138" s="5" t="n">
        <v>85</v>
      </c>
      <c r="AS138" s="5" t="n">
        <v>616</v>
      </c>
      <c r="AT138" s="28" t="n">
        <v>3600</v>
      </c>
      <c r="AU138" s="28" t="s">
        <v>54</v>
      </c>
      <c r="AV138" s="28" t="n">
        <v>75.9845</v>
      </c>
      <c r="AW138" s="28" t="n">
        <v>36</v>
      </c>
      <c r="AX138" s="28" t="n">
        <v>49</v>
      </c>
      <c r="AY138" s="28" t="n">
        <v>705</v>
      </c>
      <c r="AZ138" s="28" t="n">
        <v>8511</v>
      </c>
      <c r="BA138" s="28" t="n">
        <v>21891</v>
      </c>
      <c r="BB138" s="6" t="n">
        <f aca="false">IF(AU138="Optimal", 1, 0)</f>
        <v>0</v>
      </c>
    </row>
    <row r="139" customFormat="false" ht="12.8" hidden="false" customHeight="false" outlineLevel="0" collapsed="false">
      <c r="A139" s="1" t="n">
        <v>10</v>
      </c>
      <c r="B139" s="23" t="s">
        <v>67</v>
      </c>
      <c r="C139" s="24" t="s">
        <v>72</v>
      </c>
      <c r="D139" s="32" t="n">
        <v>39</v>
      </c>
      <c r="E139" s="32" t="n">
        <v>118</v>
      </c>
      <c r="F139" s="32" t="n">
        <v>13</v>
      </c>
      <c r="G139" s="25" t="n">
        <v>16</v>
      </c>
      <c r="H139" s="26" t="n">
        <v>1</v>
      </c>
      <c r="I139" s="25" t="n">
        <v>9.5</v>
      </c>
      <c r="J139" s="26" t="n">
        <f aca="false">IF(I139="tl", 0, 1)</f>
        <v>1</v>
      </c>
      <c r="K139" s="25" t="n">
        <v>11.62</v>
      </c>
      <c r="L139" s="26" t="n">
        <f aca="false">IF(K139="tl", 0, 1)</f>
        <v>1</v>
      </c>
      <c r="M139" s="25" t="n">
        <v>3.57</v>
      </c>
      <c r="N139" s="26" t="n">
        <f aca="false">IF(M139="tl", 0, 1)</f>
        <v>1</v>
      </c>
      <c r="O139" s="26"/>
      <c r="P139" s="23" t="n">
        <v>0</v>
      </c>
      <c r="Q139" s="23"/>
      <c r="R139" s="2" t="n">
        <f aca="false">IF(S139=C139, 1, 0)</f>
        <v>1</v>
      </c>
      <c r="S139" s="27" t="s">
        <v>72</v>
      </c>
      <c r="T139" s="27" t="n">
        <v>39</v>
      </c>
      <c r="U139" s="27" t="n">
        <v>118</v>
      </c>
      <c r="V139" s="3" t="s">
        <v>51</v>
      </c>
      <c r="W139" s="3" t="n">
        <v>16</v>
      </c>
      <c r="X139" s="3" t="n">
        <v>16</v>
      </c>
      <c r="Y139" s="3" t="n">
        <v>11.2781</v>
      </c>
      <c r="Z139" s="3" t="n">
        <v>7.89175</v>
      </c>
      <c r="AA139" s="3" t="n">
        <v>892</v>
      </c>
      <c r="AB139" s="3" t="n">
        <v>111</v>
      </c>
      <c r="AC139" s="3" t="n">
        <v>511</v>
      </c>
      <c r="AD139" s="3" t="n">
        <v>866</v>
      </c>
      <c r="AE139" s="3" t="n">
        <v>27</v>
      </c>
      <c r="AF139" s="3" t="n">
        <v>0</v>
      </c>
      <c r="AG139" s="3" t="n">
        <v>9</v>
      </c>
      <c r="AH139" s="3" t="n">
        <v>9.48649</v>
      </c>
      <c r="AI139" s="3" t="n">
        <v>22</v>
      </c>
      <c r="AJ139" s="2" t="n">
        <f aca="false">IF(V139="Optimal", 1, 0)</f>
        <v>1</v>
      </c>
      <c r="AK139" s="3" t="n">
        <f aca="false">IF(AJ139=1, W139-G139)</f>
        <v>0</v>
      </c>
      <c r="AL139" s="4" t="n">
        <f aca="false">IF(AND(AH139&lt;&gt;-1, G139&lt;&gt;"-", G139&lt;&gt;"."), ((G139-AH139)/G139)*100, -1)</f>
        <v>40.7094375</v>
      </c>
      <c r="AN139" s="5" t="n">
        <f aca="false">IF(AND(AO139=C139, A139=AP139), 1, 0)</f>
        <v>1</v>
      </c>
      <c r="AO139" s="5" t="s">
        <v>72</v>
      </c>
      <c r="AP139" s="5" t="n">
        <v>10</v>
      </c>
      <c r="AQ139" s="5" t="n">
        <v>3600</v>
      </c>
      <c r="AR139" s="5" t="n">
        <v>39</v>
      </c>
      <c r="AS139" s="5" t="n">
        <v>118</v>
      </c>
      <c r="AT139" s="28" t="n">
        <v>143.554</v>
      </c>
      <c r="AU139" s="28" t="s">
        <v>51</v>
      </c>
      <c r="AV139" s="28" t="n">
        <v>23</v>
      </c>
      <c r="AW139" s="28" t="n">
        <v>23</v>
      </c>
      <c r="AX139" s="28" t="n">
        <v>16</v>
      </c>
      <c r="AY139" s="28" t="n">
        <v>252</v>
      </c>
      <c r="AZ139" s="28" t="n">
        <v>1773</v>
      </c>
      <c r="BA139" s="28" t="n">
        <v>7449</v>
      </c>
      <c r="BB139" s="6" t="n">
        <f aca="false">IF(AU139="Optimal", 1, 0)</f>
        <v>1</v>
      </c>
    </row>
    <row r="140" customFormat="false" ht="12.8" hidden="false" customHeight="false" outlineLevel="0" collapsed="false">
      <c r="A140" s="1" t="n">
        <v>10</v>
      </c>
      <c r="B140" s="23" t="s">
        <v>67</v>
      </c>
      <c r="C140" s="24" t="s">
        <v>73</v>
      </c>
      <c r="D140" s="32" t="n">
        <v>49</v>
      </c>
      <c r="E140" s="32" t="n">
        <v>177</v>
      </c>
      <c r="F140" s="32" t="n">
        <v>16</v>
      </c>
      <c r="G140" s="25" t="n">
        <v>16</v>
      </c>
      <c r="H140" s="26" t="n">
        <v>1</v>
      </c>
      <c r="I140" s="25" t="n">
        <v>88.12</v>
      </c>
      <c r="J140" s="26" t="n">
        <f aca="false">IF(I140="tl", 0, 1)</f>
        <v>1</v>
      </c>
      <c r="K140" s="25" t="n">
        <v>25.13</v>
      </c>
      <c r="L140" s="26" t="n">
        <f aca="false">IF(K140="tl", 0, 1)</f>
        <v>1</v>
      </c>
      <c r="M140" s="25" t="n">
        <v>13.42</v>
      </c>
      <c r="N140" s="26" t="n">
        <f aca="false">IF(M140="tl", 0, 1)</f>
        <v>1</v>
      </c>
      <c r="O140" s="26"/>
      <c r="P140" s="23" t="n">
        <v>0</v>
      </c>
      <c r="Q140" s="23"/>
      <c r="R140" s="2" t="n">
        <f aca="false">IF(S140=C140, 1, 0)</f>
        <v>1</v>
      </c>
      <c r="S140" s="27" t="s">
        <v>73</v>
      </c>
      <c r="T140" s="27" t="n">
        <v>49</v>
      </c>
      <c r="U140" s="27" t="n">
        <v>177</v>
      </c>
      <c r="V140" s="3" t="s">
        <v>51</v>
      </c>
      <c r="W140" s="3" t="n">
        <v>16</v>
      </c>
      <c r="X140" s="3" t="n">
        <v>16</v>
      </c>
      <c r="Y140" s="3" t="n">
        <v>25.0385</v>
      </c>
      <c r="Z140" s="3" t="n">
        <v>17.1577</v>
      </c>
      <c r="AA140" s="3" t="n">
        <v>1580</v>
      </c>
      <c r="AB140" s="3" t="n">
        <v>99</v>
      </c>
      <c r="AC140" s="3" t="n">
        <v>757</v>
      </c>
      <c r="AD140" s="3" t="n">
        <v>1289</v>
      </c>
      <c r="AE140" s="3" t="n">
        <v>20</v>
      </c>
      <c r="AF140" s="3" t="n">
        <v>0</v>
      </c>
      <c r="AG140" s="3" t="n">
        <v>9</v>
      </c>
      <c r="AH140" s="3" t="n">
        <v>9.38298</v>
      </c>
      <c r="AI140" s="3" t="n">
        <v>27</v>
      </c>
      <c r="AJ140" s="2" t="n">
        <f aca="false">IF(V140="Optimal", 1, 0)</f>
        <v>1</v>
      </c>
      <c r="AK140" s="3" t="n">
        <f aca="false">IF(AJ140=1, W140-G140)</f>
        <v>0</v>
      </c>
      <c r="AL140" s="4" t="n">
        <f aca="false">IF(AND(AH140&lt;&gt;-1, G140&lt;&gt;"-", G140&lt;&gt;"."), ((G140-AH140)/G140)*100, -1)</f>
        <v>41.356375</v>
      </c>
      <c r="AN140" s="5" t="n">
        <f aca="false">IF(AND(AO140=C140, A140=AP140), 1, 0)</f>
        <v>1</v>
      </c>
      <c r="AO140" s="5" t="s">
        <v>73</v>
      </c>
      <c r="AP140" s="5" t="n">
        <v>10</v>
      </c>
      <c r="AQ140" s="5" t="n">
        <v>3600</v>
      </c>
      <c r="AR140" s="5" t="n">
        <v>49</v>
      </c>
      <c r="AS140" s="5" t="n">
        <v>177</v>
      </c>
      <c r="AT140" s="28" t="n">
        <v>849.273</v>
      </c>
      <c r="AU140" s="28" t="s">
        <v>51</v>
      </c>
      <c r="AV140" s="28" t="n">
        <v>33</v>
      </c>
      <c r="AW140" s="28" t="n">
        <v>33</v>
      </c>
      <c r="AX140" s="28" t="n">
        <v>16</v>
      </c>
      <c r="AY140" s="28" t="n">
        <v>372</v>
      </c>
      <c r="AZ140" s="28" t="n">
        <v>2130</v>
      </c>
      <c r="BA140" s="28" t="n">
        <v>47628</v>
      </c>
      <c r="BB140" s="6" t="n">
        <f aca="false">IF(AU140="Optimal", 1, 0)</f>
        <v>1</v>
      </c>
    </row>
    <row r="141" customFormat="false" ht="12.8" hidden="false" customHeight="false" outlineLevel="0" collapsed="false">
      <c r="A141" s="1" t="n">
        <v>10</v>
      </c>
      <c r="B141" s="23" t="s">
        <v>67</v>
      </c>
      <c r="C141" s="24" t="s">
        <v>74</v>
      </c>
      <c r="D141" s="32" t="n">
        <v>118</v>
      </c>
      <c r="E141" s="32" t="n">
        <v>576</v>
      </c>
      <c r="F141" s="32" t="n">
        <v>32</v>
      </c>
      <c r="G141" s="25" t="n">
        <v>23</v>
      </c>
      <c r="H141" s="26" t="n">
        <v>1</v>
      </c>
      <c r="I141" s="25" t="s">
        <v>53</v>
      </c>
      <c r="J141" s="26" t="n">
        <f aca="false">IF(I141="tl", 0, 1)</f>
        <v>0</v>
      </c>
      <c r="K141" s="25" t="n">
        <v>44.96</v>
      </c>
      <c r="L141" s="26" t="n">
        <f aca="false">IF(K141="tl", 0, 1)</f>
        <v>1</v>
      </c>
      <c r="M141" s="25" t="s">
        <v>53</v>
      </c>
      <c r="N141" s="26" t="n">
        <f aca="false">IF(M141="tl", 0, 1)</f>
        <v>0</v>
      </c>
      <c r="O141" s="26"/>
      <c r="P141" s="23" t="n">
        <v>0</v>
      </c>
      <c r="Q141" s="23"/>
      <c r="R141" s="2" t="n">
        <f aca="false">IF(S141=C141, 1, 0)</f>
        <v>1</v>
      </c>
      <c r="S141" s="27" t="s">
        <v>74</v>
      </c>
      <c r="T141" s="27" t="n">
        <v>118</v>
      </c>
      <c r="U141" s="27" t="n">
        <v>576</v>
      </c>
      <c r="V141" s="3" t="s">
        <v>54</v>
      </c>
      <c r="W141" s="3" t="n">
        <v>86</v>
      </c>
      <c r="X141" s="3" t="n">
        <v>11.1579</v>
      </c>
      <c r="Y141" s="3" t="n">
        <v>1800.07</v>
      </c>
      <c r="Z141" s="3" t="n">
        <v>1122.38</v>
      </c>
      <c r="AA141" s="3" t="n">
        <v>10280</v>
      </c>
      <c r="AB141" s="3" t="n">
        <v>45</v>
      </c>
      <c r="AC141" s="3" t="n">
        <v>2422</v>
      </c>
      <c r="AD141" s="3" t="n">
        <v>4151</v>
      </c>
      <c r="AE141" s="3" t="n">
        <v>41</v>
      </c>
      <c r="AF141" s="3" t="n">
        <v>0</v>
      </c>
      <c r="AG141" s="3" t="n">
        <v>18</v>
      </c>
      <c r="AH141" s="3" t="n">
        <v>9.15517</v>
      </c>
      <c r="AI141" s="3" t="n">
        <v>86</v>
      </c>
      <c r="AJ141" s="2" t="n">
        <f aca="false">IF(V141="Optimal", 1, 0)</f>
        <v>0</v>
      </c>
      <c r="AK141" s="29" t="b">
        <f aca="false">IF(AJ141=1, W141-G141)</f>
        <v>0</v>
      </c>
      <c r="AL141" s="4" t="n">
        <f aca="false">IF(AND(AH141&lt;&gt;-1, G141&lt;&gt;"-", G141&lt;&gt;"."), ((G141-AH141)/G141)*100, -1)</f>
        <v>60.1949130434783</v>
      </c>
      <c r="AN141" s="5" t="n">
        <f aca="false">IF(AND(AO141=C141, A141=AP141), 1, 0)</f>
        <v>1</v>
      </c>
      <c r="AO141" s="5" t="s">
        <v>74</v>
      </c>
      <c r="AP141" s="5" t="n">
        <v>10</v>
      </c>
      <c r="AQ141" s="5" t="n">
        <v>3600</v>
      </c>
      <c r="AR141" s="5" t="n">
        <v>118</v>
      </c>
      <c r="AS141" s="5" t="n">
        <v>576</v>
      </c>
      <c r="AT141" s="28" t="n">
        <v>3600</v>
      </c>
      <c r="AU141" s="28" t="s">
        <v>54</v>
      </c>
      <c r="AV141" s="28" t="n">
        <v>113.44</v>
      </c>
      <c r="AW141" s="28" t="n">
        <v>91</v>
      </c>
      <c r="AX141" s="28" t="n">
        <v>27</v>
      </c>
      <c r="AY141" s="28" t="n">
        <v>1116</v>
      </c>
      <c r="AZ141" s="28" t="n">
        <v>6359</v>
      </c>
      <c r="BA141" s="28" t="n">
        <v>5718</v>
      </c>
      <c r="BB141" s="6" t="n">
        <f aca="false">IF(AU141="Optimal", 1, 0)</f>
        <v>0</v>
      </c>
    </row>
    <row r="142" customFormat="false" ht="12.8" hidden="false" customHeight="false" outlineLevel="0" collapsed="false">
      <c r="A142" s="1" t="n">
        <v>10</v>
      </c>
      <c r="B142" s="23" t="s">
        <v>67</v>
      </c>
      <c r="C142" s="24" t="s">
        <v>76</v>
      </c>
      <c r="D142" s="32" t="n">
        <v>144</v>
      </c>
      <c r="E142" s="32" t="n">
        <v>1656</v>
      </c>
      <c r="F142" s="32" t="n">
        <v>12</v>
      </c>
      <c r="G142" s="25" t="s">
        <v>77</v>
      </c>
      <c r="H142" s="3" t="n">
        <v>0</v>
      </c>
      <c r="I142" s="25" t="s">
        <v>53</v>
      </c>
      <c r="J142" s="26" t="n">
        <f aca="false">IF(I142="tl", 0, 1)</f>
        <v>0</v>
      </c>
      <c r="K142" s="25" t="s">
        <v>53</v>
      </c>
      <c r="L142" s="26" t="n">
        <f aca="false">IF(K142="tl", 0, 1)</f>
        <v>0</v>
      </c>
      <c r="M142" s="25" t="s">
        <v>53</v>
      </c>
      <c r="N142" s="26" t="n">
        <f aca="false">IF(M142="tl", 0, 1)</f>
        <v>0</v>
      </c>
      <c r="O142" s="26"/>
      <c r="P142" s="23" t="n">
        <v>0</v>
      </c>
      <c r="Q142" s="23"/>
      <c r="R142" s="2" t="n">
        <f aca="false">IF(S142=C142, 1, 0)</f>
        <v>1</v>
      </c>
      <c r="S142" s="27" t="s">
        <v>76</v>
      </c>
      <c r="T142" s="27" t="n">
        <v>144</v>
      </c>
      <c r="U142" s="27" t="n">
        <v>1656</v>
      </c>
      <c r="V142" s="3" t="s">
        <v>54</v>
      </c>
      <c r="W142" s="3" t="n">
        <v>130</v>
      </c>
      <c r="X142" s="3" t="n">
        <v>10.3846</v>
      </c>
      <c r="Y142" s="3" t="n">
        <v>1800.11</v>
      </c>
      <c r="Z142" s="3" t="n">
        <v>568.694</v>
      </c>
      <c r="AA142" s="3" t="n">
        <v>8704</v>
      </c>
      <c r="AB142" s="3" t="n">
        <v>6</v>
      </c>
      <c r="AC142" s="3" t="n">
        <v>6768</v>
      </c>
      <c r="AD142" s="3" t="n">
        <v>11737</v>
      </c>
      <c r="AE142" s="3" t="n">
        <v>28</v>
      </c>
      <c r="AF142" s="3" t="n">
        <v>0</v>
      </c>
      <c r="AG142" s="3" t="n">
        <v>3</v>
      </c>
      <c r="AH142" s="3" t="n">
        <v>9.12676</v>
      </c>
      <c r="AI142" s="3" t="n">
        <v>130</v>
      </c>
      <c r="AJ142" s="2" t="n">
        <f aca="false">IF(V142="Optimal", 1, 0)</f>
        <v>0</v>
      </c>
      <c r="AK142" s="29" t="b">
        <f aca="false">IF(AJ142=1, W142-G142)</f>
        <v>0</v>
      </c>
      <c r="AL142" s="4" t="n">
        <f aca="false">IF(AND(AH142&lt;&gt;-1, G142&lt;&gt;"-", G142&lt;&gt;"."), ((G142-AH142)/G142)*100, -1)</f>
        <v>-1</v>
      </c>
      <c r="AN142" s="5" t="n">
        <f aca="false">IF(AND(AO142=C142, A142=AP142), 1, 0)</f>
        <v>1</v>
      </c>
      <c r="AO142" s="5" t="s">
        <v>76</v>
      </c>
      <c r="AP142" s="5" t="n">
        <v>10</v>
      </c>
      <c r="AQ142" s="5" t="n">
        <v>3600</v>
      </c>
      <c r="AR142" s="5" t="n">
        <v>144</v>
      </c>
      <c r="AS142" s="5" t="n">
        <v>1656</v>
      </c>
      <c r="AT142" s="28" t="n">
        <v>3600</v>
      </c>
      <c r="AU142" s="28" t="s">
        <v>54</v>
      </c>
      <c r="AV142" s="28" t="n">
        <v>137.213</v>
      </c>
      <c r="AW142" s="28" t="n">
        <v>54</v>
      </c>
      <c r="AX142" s="28" t="n">
        <v>90</v>
      </c>
      <c r="AY142" s="28" t="n">
        <v>1187</v>
      </c>
      <c r="AZ142" s="28" t="n">
        <v>14260</v>
      </c>
      <c r="BA142" s="28" t="n">
        <v>852</v>
      </c>
      <c r="BB142" s="6" t="n">
        <f aca="false">IF(AU142="Optimal", 1, 0)</f>
        <v>0</v>
      </c>
    </row>
    <row r="143" customFormat="false" ht="12.8" hidden="false" customHeight="false" outlineLevel="0" collapsed="false">
      <c r="A143" s="1" t="n">
        <v>10</v>
      </c>
      <c r="B143" s="23" t="s">
        <v>67</v>
      </c>
      <c r="C143" s="24" t="s">
        <v>79</v>
      </c>
      <c r="D143" s="32" t="n">
        <v>62</v>
      </c>
      <c r="E143" s="32" t="n">
        <v>210</v>
      </c>
      <c r="F143" s="32" t="n">
        <v>18</v>
      </c>
      <c r="G143" s="25" t="n">
        <v>17</v>
      </c>
      <c r="H143" s="26" t="n">
        <v>1</v>
      </c>
      <c r="I143" s="25" t="s">
        <v>53</v>
      </c>
      <c r="J143" s="26" t="n">
        <f aca="false">IF(I143="tl", 0, 1)</f>
        <v>0</v>
      </c>
      <c r="K143" s="25" t="n">
        <v>25.25</v>
      </c>
      <c r="L143" s="26" t="n">
        <f aca="false">IF(K143="tl", 0, 1)</f>
        <v>1</v>
      </c>
      <c r="M143" s="25" t="n">
        <v>2099.11</v>
      </c>
      <c r="N143" s="26" t="n">
        <f aca="false">IF(M143="tl", 0, 1)</f>
        <v>1</v>
      </c>
      <c r="O143" s="26"/>
      <c r="P143" s="23" t="n">
        <v>0</v>
      </c>
      <c r="Q143" s="23"/>
      <c r="R143" s="2" t="n">
        <f aca="false">IF(S143=C143, 1, 0)</f>
        <v>1</v>
      </c>
      <c r="S143" s="27" t="s">
        <v>79</v>
      </c>
      <c r="T143" s="27" t="n">
        <v>62</v>
      </c>
      <c r="U143" s="27" t="n">
        <v>210</v>
      </c>
      <c r="V143" s="3" t="s">
        <v>51</v>
      </c>
      <c r="W143" s="3" t="n">
        <v>17</v>
      </c>
      <c r="X143" s="3" t="n">
        <v>17</v>
      </c>
      <c r="Y143" s="3" t="n">
        <v>856.269</v>
      </c>
      <c r="Z143" s="3" t="n">
        <v>747.664</v>
      </c>
      <c r="AA143" s="3" t="n">
        <v>10448</v>
      </c>
      <c r="AB143" s="3" t="n">
        <v>638</v>
      </c>
      <c r="AC143" s="3" t="n">
        <v>902</v>
      </c>
      <c r="AD143" s="3" t="n">
        <v>1533</v>
      </c>
      <c r="AE143" s="3" t="n">
        <v>33</v>
      </c>
      <c r="AF143" s="3" t="n">
        <v>0</v>
      </c>
      <c r="AG143" s="3" t="n">
        <v>22</v>
      </c>
      <c r="AH143" s="3" t="n">
        <v>9.3</v>
      </c>
      <c r="AI143" s="3" t="n">
        <v>39</v>
      </c>
      <c r="AJ143" s="2" t="n">
        <f aca="false">IF(V143="Optimal", 1, 0)</f>
        <v>1</v>
      </c>
      <c r="AK143" s="3" t="n">
        <f aca="false">IF(AJ143=1, W143-G143)</f>
        <v>0</v>
      </c>
      <c r="AL143" s="4" t="n">
        <f aca="false">IF(AND(AH143&lt;&gt;-1, G143&lt;&gt;"-", G143&lt;&gt;"."), ((G143-AH143)/G143)*100, -1)</f>
        <v>45.2941176470588</v>
      </c>
      <c r="AN143" s="5" t="n">
        <f aca="false">IF(AND(AO143=C143, A143=AP143), 1, 0)</f>
        <v>1</v>
      </c>
      <c r="AO143" s="5" t="s">
        <v>79</v>
      </c>
      <c r="AP143" s="5" t="n">
        <v>10</v>
      </c>
      <c r="AQ143" s="5" t="n">
        <v>3600</v>
      </c>
      <c r="AR143" s="5" t="n">
        <v>62</v>
      </c>
      <c r="AS143" s="5" t="n">
        <v>210</v>
      </c>
      <c r="AT143" s="28" t="n">
        <v>3600</v>
      </c>
      <c r="AU143" s="28" t="s">
        <v>54</v>
      </c>
      <c r="AV143" s="28" t="n">
        <v>53.2734</v>
      </c>
      <c r="AW143" s="28" t="n">
        <v>45</v>
      </c>
      <c r="AX143" s="28" t="n">
        <v>17</v>
      </c>
      <c r="AY143" s="28" t="n">
        <v>469</v>
      </c>
      <c r="AZ143" s="28" t="n">
        <v>3292</v>
      </c>
      <c r="BA143" s="28" t="n">
        <v>138835</v>
      </c>
      <c r="BB143" s="6" t="n">
        <f aca="false">IF(AU143="Optimal", 1, 0)</f>
        <v>0</v>
      </c>
    </row>
    <row r="144" customFormat="false" ht="12.8" hidden="false" customHeight="false" outlineLevel="0" collapsed="false">
      <c r="A144" s="1" t="n">
        <v>10</v>
      </c>
      <c r="B144" s="23" t="s">
        <v>67</v>
      </c>
      <c r="C144" s="24" t="s">
        <v>80</v>
      </c>
      <c r="D144" s="32" t="n">
        <v>73</v>
      </c>
      <c r="E144" s="32" t="n">
        <v>652</v>
      </c>
      <c r="F144" s="32" t="n">
        <v>13</v>
      </c>
      <c r="G144" s="25" t="s">
        <v>77</v>
      </c>
      <c r="H144" s="3" t="n">
        <v>0</v>
      </c>
      <c r="I144" s="25" t="s">
        <v>53</v>
      </c>
      <c r="J144" s="26" t="n">
        <f aca="false">IF(I144="tl", 0, 1)</f>
        <v>0</v>
      </c>
      <c r="K144" s="25" t="s">
        <v>53</v>
      </c>
      <c r="L144" s="26" t="n">
        <f aca="false">IF(K144="tl", 0, 1)</f>
        <v>0</v>
      </c>
      <c r="M144" s="25" t="s">
        <v>53</v>
      </c>
      <c r="N144" s="26" t="n">
        <f aca="false">IF(M144="tl", 0, 1)</f>
        <v>0</v>
      </c>
      <c r="O144" s="26"/>
      <c r="P144" s="23" t="n">
        <v>0</v>
      </c>
      <c r="Q144" s="23"/>
      <c r="R144" s="2" t="n">
        <f aca="false">IF(S144=C144, 1, 0)</f>
        <v>1</v>
      </c>
      <c r="S144" s="27" t="s">
        <v>80</v>
      </c>
      <c r="T144" s="27" t="n">
        <v>73</v>
      </c>
      <c r="U144" s="27" t="n">
        <v>652</v>
      </c>
      <c r="V144" s="3" t="s">
        <v>54</v>
      </c>
      <c r="W144" s="3" t="n">
        <v>59</v>
      </c>
      <c r="X144" s="3" t="n">
        <v>11.2609</v>
      </c>
      <c r="Y144" s="3" t="n">
        <v>1800.06</v>
      </c>
      <c r="Z144" s="3" t="n">
        <v>217.674</v>
      </c>
      <c r="AA144" s="3" t="n">
        <v>14529</v>
      </c>
      <c r="AB144" s="3" t="n">
        <v>54</v>
      </c>
      <c r="AC144" s="3" t="n">
        <v>2681</v>
      </c>
      <c r="AD144" s="3" t="n">
        <v>4638</v>
      </c>
      <c r="AE144" s="3" t="n">
        <v>2</v>
      </c>
      <c r="AF144" s="3" t="n">
        <v>0</v>
      </c>
      <c r="AG144" s="3" t="n">
        <v>33</v>
      </c>
      <c r="AH144" s="3" t="n">
        <v>9.25352</v>
      </c>
      <c r="AI144" s="3" t="n">
        <v>60</v>
      </c>
      <c r="AJ144" s="2" t="n">
        <f aca="false">IF(V144="Optimal", 1, 0)</f>
        <v>0</v>
      </c>
      <c r="AK144" s="29" t="b">
        <f aca="false">IF(AJ144=1, W144-G144)</f>
        <v>0</v>
      </c>
      <c r="AL144" s="4" t="n">
        <f aca="false">IF(AND(AH144&lt;&gt;-1, G144&lt;&gt;"-", G144&lt;&gt;"."), ((G144-AH144)/G144)*100, -1)</f>
        <v>-1</v>
      </c>
      <c r="AN144" s="5" t="n">
        <f aca="false">IF(AND(AO144=C144, A144=AP144), 1, 0)</f>
        <v>1</v>
      </c>
      <c r="AO144" s="5" t="s">
        <v>80</v>
      </c>
      <c r="AP144" s="5" t="n">
        <v>10</v>
      </c>
      <c r="AQ144" s="5" t="n">
        <v>3600</v>
      </c>
      <c r="AR144" s="5" t="n">
        <v>73</v>
      </c>
      <c r="AS144" s="5" t="n">
        <v>652</v>
      </c>
      <c r="AT144" s="28" t="n">
        <v>3600</v>
      </c>
      <c r="AU144" s="28" t="s">
        <v>54</v>
      </c>
      <c r="AV144" s="28" t="n">
        <v>61.0696</v>
      </c>
      <c r="AW144" s="28" t="n">
        <v>19</v>
      </c>
      <c r="AX144" s="28" t="n">
        <v>54</v>
      </c>
      <c r="AY144" s="28" t="n">
        <v>601</v>
      </c>
      <c r="AZ144" s="28" t="n">
        <v>14272</v>
      </c>
      <c r="BA144" s="28" t="n">
        <v>34081</v>
      </c>
      <c r="BB144" s="6" t="n">
        <f aca="false">IF(AU144="Optimal", 1, 0)</f>
        <v>0</v>
      </c>
    </row>
    <row r="145" customFormat="false" ht="12.8" hidden="false" customHeight="false" outlineLevel="0" collapsed="false">
      <c r="A145" s="1" t="n">
        <v>10</v>
      </c>
      <c r="B145" s="23" t="s">
        <v>67</v>
      </c>
      <c r="C145" s="24" t="s">
        <v>81</v>
      </c>
      <c r="D145" s="32" t="n">
        <v>96</v>
      </c>
      <c r="E145" s="32" t="n">
        <v>912</v>
      </c>
      <c r="F145" s="32" t="n">
        <v>10</v>
      </c>
      <c r="G145" s="25" t="s">
        <v>77</v>
      </c>
      <c r="H145" s="3" t="n">
        <v>0</v>
      </c>
      <c r="I145" s="25" t="s">
        <v>53</v>
      </c>
      <c r="J145" s="26" t="n">
        <f aca="false">IF(I145="tl", 0, 1)</f>
        <v>0</v>
      </c>
      <c r="K145" s="25" t="s">
        <v>53</v>
      </c>
      <c r="L145" s="26" t="n">
        <f aca="false">IF(K145="tl", 0, 1)</f>
        <v>0</v>
      </c>
      <c r="M145" s="25" t="s">
        <v>53</v>
      </c>
      <c r="N145" s="26" t="n">
        <f aca="false">IF(M145="tl", 0, 1)</f>
        <v>0</v>
      </c>
      <c r="O145" s="26"/>
      <c r="P145" s="23" t="n">
        <v>0</v>
      </c>
      <c r="Q145" s="23"/>
      <c r="R145" s="2" t="n">
        <f aca="false">IF(S145=C145, 1, 0)</f>
        <v>1</v>
      </c>
      <c r="S145" s="27" t="s">
        <v>81</v>
      </c>
      <c r="T145" s="27" t="n">
        <v>96</v>
      </c>
      <c r="U145" s="27" t="n">
        <v>912</v>
      </c>
      <c r="V145" s="3" t="s">
        <v>54</v>
      </c>
      <c r="W145" s="3" t="n">
        <v>81</v>
      </c>
      <c r="X145" s="3" t="n">
        <v>11.1957</v>
      </c>
      <c r="Y145" s="3" t="n">
        <v>1800</v>
      </c>
      <c r="Z145" s="3" t="n">
        <v>645.03</v>
      </c>
      <c r="AA145" s="3" t="n">
        <v>12649</v>
      </c>
      <c r="AB145" s="3" t="n">
        <v>351</v>
      </c>
      <c r="AC145" s="3" t="n">
        <v>3744</v>
      </c>
      <c r="AD145" s="3" t="n">
        <v>6481</v>
      </c>
      <c r="AE145" s="3" t="n">
        <v>10</v>
      </c>
      <c r="AF145" s="3" t="n">
        <v>0</v>
      </c>
      <c r="AG145" s="3" t="n">
        <v>77</v>
      </c>
      <c r="AH145" s="3" t="n">
        <v>9.19149</v>
      </c>
      <c r="AI145" s="30" t="n">
        <v>1E+020</v>
      </c>
      <c r="AJ145" s="2" t="n">
        <f aca="false">IF(V145="Optimal", 1, 0)</f>
        <v>0</v>
      </c>
      <c r="AK145" s="29" t="b">
        <f aca="false">IF(AJ145=1, W145-G145)</f>
        <v>0</v>
      </c>
      <c r="AL145" s="4" t="n">
        <f aca="false">IF(AND(AH145&lt;&gt;-1, G145&lt;&gt;"-", G145&lt;&gt;"."), ((G145-AH145)/G145)*100, -1)</f>
        <v>-1</v>
      </c>
      <c r="AN145" s="5" t="n">
        <f aca="false">IF(AND(AO145=C145, A145=AP145), 1, 0)</f>
        <v>1</v>
      </c>
      <c r="AO145" s="5" t="s">
        <v>81</v>
      </c>
      <c r="AP145" s="5" t="n">
        <v>10</v>
      </c>
      <c r="AQ145" s="5" t="n">
        <v>3600</v>
      </c>
      <c r="AR145" s="5" t="n">
        <v>96</v>
      </c>
      <c r="AS145" s="5" t="n">
        <v>912</v>
      </c>
      <c r="AT145" s="28" t="n">
        <v>3600</v>
      </c>
      <c r="AU145" s="28" t="s">
        <v>54</v>
      </c>
      <c r="AV145" s="28" t="n">
        <v>87.8735</v>
      </c>
      <c r="AW145" s="28" t="n">
        <v>21</v>
      </c>
      <c r="AX145" s="28" t="n">
        <v>75</v>
      </c>
      <c r="AY145" s="28" t="n">
        <v>840</v>
      </c>
      <c r="AZ145" s="28" t="n">
        <v>9740</v>
      </c>
      <c r="BA145" s="28" t="n">
        <v>1363</v>
      </c>
      <c r="BB145" s="6" t="n">
        <f aca="false">IF(AU145="Optimal", 1, 0)</f>
        <v>0</v>
      </c>
    </row>
    <row r="146" customFormat="false" ht="12.8" hidden="false" customHeight="false" outlineLevel="0" collapsed="false">
      <c r="A146" s="1" t="n">
        <v>10</v>
      </c>
      <c r="B146" s="23" t="s">
        <v>64</v>
      </c>
      <c r="C146" s="24" t="s">
        <v>82</v>
      </c>
      <c r="D146" s="32" t="n">
        <v>297</v>
      </c>
      <c r="E146" s="32" t="n">
        <v>2148</v>
      </c>
      <c r="F146" s="32" t="n">
        <v>110</v>
      </c>
      <c r="G146" s="25" t="n">
        <v>1</v>
      </c>
      <c r="H146" s="26" t="n">
        <v>1</v>
      </c>
      <c r="I146" s="26" t="n">
        <v>16.08</v>
      </c>
      <c r="J146" s="26" t="n">
        <f aca="false">IF(I146="tl", 0, 1)</f>
        <v>1</v>
      </c>
      <c r="K146" s="26" t="s">
        <v>53</v>
      </c>
      <c r="L146" s="26" t="n">
        <f aca="false">IF(K146="tl", 0, 1)</f>
        <v>0</v>
      </c>
      <c r="M146" s="26" t="n">
        <v>0.02</v>
      </c>
      <c r="N146" s="26" t="n">
        <f aca="false">IF(M146="tl", 0, 1)</f>
        <v>1</v>
      </c>
      <c r="O146" s="26"/>
      <c r="P146" s="23" t="n">
        <v>0</v>
      </c>
      <c r="Q146" s="23"/>
      <c r="R146" s="2" t="n">
        <f aca="false">IF(S146=C146, 1, 0)</f>
        <v>1</v>
      </c>
      <c r="S146" s="27" t="s">
        <v>82</v>
      </c>
      <c r="T146" s="27" t="n">
        <v>297</v>
      </c>
      <c r="U146" s="27" t="n">
        <v>2148</v>
      </c>
      <c r="V146" s="3" t="s">
        <v>54</v>
      </c>
      <c r="W146" s="30" t="n">
        <v>1E+020</v>
      </c>
      <c r="X146" s="3" t="n">
        <v>1</v>
      </c>
      <c r="Y146" s="3" t="n">
        <v>1800.25</v>
      </c>
      <c r="Z146" s="3" t="n">
        <v>63.3741</v>
      </c>
      <c r="AA146" s="3" t="n">
        <v>6083</v>
      </c>
      <c r="AB146" s="3" t="n">
        <v>1</v>
      </c>
      <c r="AC146" s="3" t="n">
        <v>8889</v>
      </c>
      <c r="AD146" s="3" t="n">
        <v>15334</v>
      </c>
      <c r="AE146" s="3" t="n">
        <v>3638</v>
      </c>
      <c r="AF146" s="3" t="n">
        <v>0</v>
      </c>
      <c r="AG146" s="3" t="n">
        <v>0</v>
      </c>
      <c r="AH146" s="3" t="n">
        <v>-1</v>
      </c>
      <c r="AI146" s="3" t="n">
        <v>-1</v>
      </c>
      <c r="AJ146" s="2" t="n">
        <f aca="false">IF(V146="Optimal", 1, 0)</f>
        <v>0</v>
      </c>
      <c r="AK146" s="29" t="b">
        <f aca="false">IF(AJ146=1, W146-G146)</f>
        <v>0</v>
      </c>
      <c r="AL146" s="4" t="n">
        <f aca="false">IF(AND(AH146&lt;&gt;-1, G146&lt;&gt;"-", G146&lt;&gt;"."), ((G146-AH146)/G146)*100, -1)</f>
        <v>-1</v>
      </c>
      <c r="AN146" s="5" t="n">
        <f aca="false">IF(AND(AO146=C146, A146=AP146), 1, 0)</f>
        <v>1</v>
      </c>
      <c r="AO146" s="5" t="s">
        <v>82</v>
      </c>
      <c r="AP146" s="5" t="n">
        <v>10</v>
      </c>
      <c r="AQ146" s="5" t="n">
        <v>3600</v>
      </c>
      <c r="AR146" s="5" t="n">
        <v>297</v>
      </c>
      <c r="AS146" s="5" t="n">
        <v>2148</v>
      </c>
      <c r="AT146" s="28" t="n">
        <v>543.26</v>
      </c>
      <c r="AU146" s="28" t="s">
        <v>51</v>
      </c>
      <c r="AV146" s="28" t="n">
        <v>296</v>
      </c>
      <c r="AW146" s="28" t="n">
        <v>296</v>
      </c>
      <c r="AX146" s="28" t="n">
        <v>2</v>
      </c>
      <c r="AY146" s="28" t="n">
        <v>2970</v>
      </c>
      <c r="AZ146" s="28" t="n">
        <v>21875</v>
      </c>
      <c r="BA146" s="28" t="n">
        <v>23</v>
      </c>
      <c r="BB146" s="6" t="n">
        <f aca="false">IF(AU146="Optimal", 1, 0)</f>
        <v>1</v>
      </c>
    </row>
    <row r="147" customFormat="false" ht="12.8" hidden="false" customHeight="false" outlineLevel="0" collapsed="false">
      <c r="A147" s="1" t="n">
        <v>10</v>
      </c>
      <c r="B147" s="23" t="s">
        <v>64</v>
      </c>
      <c r="C147" s="24" t="s">
        <v>83</v>
      </c>
      <c r="D147" s="32" t="n">
        <v>39</v>
      </c>
      <c r="E147" s="32" t="n">
        <v>170</v>
      </c>
      <c r="F147" s="32" t="n">
        <v>17</v>
      </c>
      <c r="G147" s="25" t="n">
        <v>12</v>
      </c>
      <c r="H147" s="26" t="n">
        <v>1</v>
      </c>
      <c r="I147" s="26" t="n">
        <v>6.74</v>
      </c>
      <c r="J147" s="26" t="n">
        <f aca="false">IF(I147="tl", 0, 1)</f>
        <v>1</v>
      </c>
      <c r="K147" s="26" t="n">
        <v>5.7</v>
      </c>
      <c r="L147" s="26" t="n">
        <f aca="false">IF(K147="tl", 0, 1)</f>
        <v>1</v>
      </c>
      <c r="M147" s="26" t="n">
        <v>0.54</v>
      </c>
      <c r="N147" s="26" t="n">
        <f aca="false">IF(M147="tl", 0, 1)</f>
        <v>1</v>
      </c>
      <c r="O147" s="26"/>
      <c r="P147" s="23" t="n">
        <v>2</v>
      </c>
      <c r="Q147" s="23"/>
      <c r="R147" s="2" t="n">
        <f aca="false">IF(S147=C147, 1, 0)</f>
        <v>1</v>
      </c>
      <c r="S147" s="27" t="s">
        <v>83</v>
      </c>
      <c r="T147" s="27" t="n">
        <v>39</v>
      </c>
      <c r="U147" s="27" t="n">
        <v>170</v>
      </c>
      <c r="V147" s="3" t="s">
        <v>51</v>
      </c>
      <c r="W147" s="3" t="n">
        <v>12</v>
      </c>
      <c r="X147" s="3" t="n">
        <v>12</v>
      </c>
      <c r="Y147" s="3" t="n">
        <v>1.1302</v>
      </c>
      <c r="Z147" s="3" t="n">
        <v>0.576337</v>
      </c>
      <c r="AA147" s="3" t="n">
        <v>249</v>
      </c>
      <c r="AB147" s="3" t="n">
        <v>5</v>
      </c>
      <c r="AC147" s="3" t="n">
        <v>719</v>
      </c>
      <c r="AD147" s="3" t="n">
        <v>1230</v>
      </c>
      <c r="AE147" s="3" t="n">
        <v>1</v>
      </c>
      <c r="AF147" s="3" t="n">
        <v>0</v>
      </c>
      <c r="AG147" s="3" t="n">
        <v>2</v>
      </c>
      <c r="AH147" s="3" t="n">
        <v>9.48649</v>
      </c>
      <c r="AI147" s="3" t="n">
        <v>13</v>
      </c>
      <c r="AJ147" s="2" t="n">
        <f aca="false">IF(V147="Optimal", 1, 0)</f>
        <v>1</v>
      </c>
      <c r="AK147" s="3" t="n">
        <f aca="false">IF(AJ147=1, W147-G147)</f>
        <v>0</v>
      </c>
      <c r="AL147" s="4" t="n">
        <f aca="false">IF(AND(AH147&lt;&gt;-1, G147&lt;&gt;"-", G147&lt;&gt;"."), ((G147-AH147)/G147)*100, -1)</f>
        <v>20.9459166666667</v>
      </c>
      <c r="AN147" s="5" t="n">
        <f aca="false">IF(AND(AO147=C147, A147=AP147), 1, 0)</f>
        <v>1</v>
      </c>
      <c r="AO147" s="5" t="s">
        <v>83</v>
      </c>
      <c r="AP147" s="5" t="n">
        <v>10</v>
      </c>
      <c r="AQ147" s="5" t="n">
        <v>3600</v>
      </c>
      <c r="AR147" s="5" t="n">
        <v>39</v>
      </c>
      <c r="AS147" s="5" t="n">
        <v>170</v>
      </c>
      <c r="AT147" s="28" t="n">
        <v>55.4573</v>
      </c>
      <c r="AU147" s="28" t="s">
        <v>51</v>
      </c>
      <c r="AV147" s="28" t="n">
        <v>27</v>
      </c>
      <c r="AW147" s="28" t="n">
        <v>27</v>
      </c>
      <c r="AX147" s="28" t="n">
        <v>12</v>
      </c>
      <c r="AY147" s="28" t="n">
        <v>299</v>
      </c>
      <c r="AZ147" s="28" t="n">
        <v>1088</v>
      </c>
      <c r="BA147" s="28" t="n">
        <v>3133</v>
      </c>
      <c r="BB147" s="6" t="n">
        <f aca="false">IF(AU147="Optimal", 1, 0)</f>
        <v>1</v>
      </c>
    </row>
    <row r="148" customFormat="false" ht="12.8" hidden="false" customHeight="false" outlineLevel="0" collapsed="false">
      <c r="A148" s="1" t="n">
        <v>10</v>
      </c>
      <c r="B148" s="23" t="s">
        <v>49</v>
      </c>
      <c r="C148" s="24" t="s">
        <v>85</v>
      </c>
      <c r="D148" s="32" t="n">
        <v>87</v>
      </c>
      <c r="E148" s="32" t="n">
        <v>406</v>
      </c>
      <c r="F148" s="32" t="n">
        <v>36</v>
      </c>
      <c r="G148" s="25" t="s">
        <v>86</v>
      </c>
      <c r="H148" s="26" t="n">
        <v>1</v>
      </c>
      <c r="I148" s="25" t="s">
        <v>86</v>
      </c>
      <c r="J148" s="26" t="n">
        <f aca="false">IF(I148="tl", 0, 1)</f>
        <v>1</v>
      </c>
      <c r="K148" s="25" t="s">
        <v>86</v>
      </c>
      <c r="L148" s="26" t="n">
        <f aca="false">IF(K148="tl", 0, 1)</f>
        <v>1</v>
      </c>
      <c r="M148" s="25" t="s">
        <v>86</v>
      </c>
      <c r="N148" s="26" t="n">
        <f aca="false">IF(M148="tl", 0, 1)</f>
        <v>1</v>
      </c>
      <c r="O148" s="26"/>
      <c r="P148" s="23" t="n">
        <v>1</v>
      </c>
      <c r="Q148" s="23"/>
      <c r="R148" s="2" t="n">
        <f aca="false">IF(S148=C148, 1, 0)</f>
        <v>1</v>
      </c>
      <c r="S148" s="27" t="s">
        <v>85</v>
      </c>
      <c r="T148" s="27" t="n">
        <v>87</v>
      </c>
      <c r="U148" s="27" t="n">
        <v>406</v>
      </c>
      <c r="V148" s="3" t="s">
        <v>51</v>
      </c>
      <c r="W148" s="30" t="n">
        <v>1</v>
      </c>
      <c r="X148" s="3" t="n">
        <v>1</v>
      </c>
      <c r="Y148" s="3" t="n">
        <v>0.459777</v>
      </c>
      <c r="Z148" s="3" t="n">
        <v>0.008184</v>
      </c>
      <c r="AA148" s="3" t="n">
        <v>495</v>
      </c>
      <c r="AB148" s="3" t="n">
        <v>1</v>
      </c>
      <c r="AC148" s="3" t="n">
        <v>1711</v>
      </c>
      <c r="AD148" s="3" t="n">
        <v>2930</v>
      </c>
      <c r="AE148" s="3" t="n">
        <v>2</v>
      </c>
      <c r="AF148" s="3" t="n">
        <v>0</v>
      </c>
      <c r="AG148" s="3" t="n">
        <v>0</v>
      </c>
      <c r="AH148" s="3" t="n">
        <v>-1</v>
      </c>
      <c r="AI148" s="3" t="n">
        <v>-1</v>
      </c>
      <c r="AJ148" s="2" t="n">
        <f aca="false">IF(V148="Optimal", 1, 0)</f>
        <v>1</v>
      </c>
      <c r="AK148" s="3" t="e">
        <f aca="false">IF(AJ148=1, W148-G148)</f>
        <v>#VALUE!</v>
      </c>
      <c r="AL148" s="4" t="n">
        <f aca="false">IF(AND(AH148&lt;&gt;-1, G148&lt;&gt;"-", G148&lt;&gt;"."), ((G148-AH148)/G148)*100, -1)</f>
        <v>-1</v>
      </c>
      <c r="AN148" s="5" t="n">
        <f aca="false">IF(AND(AO148=C148, A148=AP148), 1, 0)</f>
        <v>1</v>
      </c>
      <c r="AO148" s="5" t="s">
        <v>85</v>
      </c>
      <c r="AP148" s="5" t="n">
        <v>10</v>
      </c>
      <c r="AQ148" s="5" t="n">
        <v>3600</v>
      </c>
      <c r="AR148" s="5" t="n">
        <v>87</v>
      </c>
      <c r="AS148" s="5" t="n">
        <v>406</v>
      </c>
      <c r="AT148" s="28" t="n">
        <v>15.1332</v>
      </c>
      <c r="AU148" s="28" t="s">
        <v>51</v>
      </c>
      <c r="AV148" s="28" t="n">
        <v>86</v>
      </c>
      <c r="AW148" s="28" t="n">
        <v>86</v>
      </c>
      <c r="AX148" s="28" t="n">
        <v>2</v>
      </c>
      <c r="AY148" s="28" t="n">
        <v>825</v>
      </c>
      <c r="AZ148" s="28" t="n">
        <v>3240</v>
      </c>
      <c r="BA148" s="28" t="n">
        <v>1</v>
      </c>
      <c r="BB148" s="6" t="n">
        <f aca="false">IF(AU148="Optimal", 1, 0)</f>
        <v>1</v>
      </c>
    </row>
    <row r="149" customFormat="false" ht="12.8" hidden="false" customHeight="false" outlineLevel="0" collapsed="false">
      <c r="A149" s="1" t="n">
        <v>10</v>
      </c>
      <c r="B149" s="23" t="s">
        <v>64</v>
      </c>
      <c r="C149" s="24" t="s">
        <v>87</v>
      </c>
      <c r="D149" s="32" t="n">
        <v>62</v>
      </c>
      <c r="E149" s="32" t="n">
        <v>159</v>
      </c>
      <c r="F149" s="32" t="n">
        <v>28</v>
      </c>
      <c r="G149" s="25" t="n">
        <v>7</v>
      </c>
      <c r="H149" s="26" t="n">
        <v>1</v>
      </c>
      <c r="I149" s="26" t="n">
        <v>8.22</v>
      </c>
      <c r="J149" s="26" t="n">
        <f aca="false">IF(I149="tl", 0, 1)</f>
        <v>1</v>
      </c>
      <c r="K149" s="26" t="n">
        <v>15.57</v>
      </c>
      <c r="L149" s="26" t="n">
        <f aca="false">IF(K149="tl", 0, 1)</f>
        <v>1</v>
      </c>
      <c r="M149" s="26" t="n">
        <v>0.52</v>
      </c>
      <c r="N149" s="26" t="n">
        <f aca="false">IF(M149="tl", 0, 1)</f>
        <v>1</v>
      </c>
      <c r="O149" s="26"/>
      <c r="P149" s="23" t="n">
        <v>0</v>
      </c>
      <c r="Q149" s="23"/>
      <c r="R149" s="2" t="n">
        <f aca="false">IF(S149=C149, 1, 0)</f>
        <v>1</v>
      </c>
      <c r="S149" s="27" t="s">
        <v>87</v>
      </c>
      <c r="T149" s="27" t="n">
        <v>62</v>
      </c>
      <c r="U149" s="27" t="n">
        <v>159</v>
      </c>
      <c r="V149" s="3" t="s">
        <v>51</v>
      </c>
      <c r="W149" s="3" t="n">
        <v>7</v>
      </c>
      <c r="X149" s="3" t="n">
        <v>7</v>
      </c>
      <c r="Y149" s="3" t="n">
        <v>1.83834</v>
      </c>
      <c r="Z149" s="3" t="n">
        <v>0.882918</v>
      </c>
      <c r="AA149" s="3" t="n">
        <v>329</v>
      </c>
      <c r="AB149" s="3" t="n">
        <v>6</v>
      </c>
      <c r="AC149" s="3" t="n">
        <v>698</v>
      </c>
      <c r="AD149" s="3" t="n">
        <v>1176</v>
      </c>
      <c r="AE149" s="3" t="n">
        <v>25</v>
      </c>
      <c r="AF149" s="3" t="n">
        <v>0</v>
      </c>
      <c r="AG149" s="3" t="n">
        <v>5</v>
      </c>
      <c r="AH149" s="3" t="n">
        <v>6.55556</v>
      </c>
      <c r="AI149" s="3" t="n">
        <v>20</v>
      </c>
      <c r="AJ149" s="2" t="n">
        <f aca="false">IF(V149="Optimal", 1, 0)</f>
        <v>1</v>
      </c>
      <c r="AK149" s="3" t="n">
        <f aca="false">IF(AJ149=1, W149-G149)</f>
        <v>0</v>
      </c>
      <c r="AL149" s="4" t="n">
        <f aca="false">IF(AND(AH149&lt;&gt;-1, G149&lt;&gt;"-", G149&lt;&gt;"."), ((G149-AH149)/G149)*100, -1)</f>
        <v>6.34914285714286</v>
      </c>
      <c r="AN149" s="5" t="n">
        <f aca="false">IF(AND(AO149=C149, A149=AP149), 1, 0)</f>
        <v>1</v>
      </c>
      <c r="AO149" s="5" t="s">
        <v>87</v>
      </c>
      <c r="AP149" s="5" t="n">
        <v>10</v>
      </c>
      <c r="AQ149" s="5" t="n">
        <v>3600</v>
      </c>
      <c r="AR149" s="5" t="n">
        <v>62</v>
      </c>
      <c r="AS149" s="5" t="n">
        <v>159</v>
      </c>
      <c r="AT149" s="28" t="n">
        <v>332.737</v>
      </c>
      <c r="AU149" s="28" t="s">
        <v>51</v>
      </c>
      <c r="AV149" s="28" t="n">
        <v>55</v>
      </c>
      <c r="AW149" s="28" t="n">
        <v>55</v>
      </c>
      <c r="AX149" s="28" t="n">
        <v>7</v>
      </c>
      <c r="AY149" s="28" t="n">
        <v>575</v>
      </c>
      <c r="AZ149" s="28" t="n">
        <v>1758</v>
      </c>
      <c r="BA149" s="28" t="n">
        <v>2776</v>
      </c>
      <c r="BB149" s="6" t="n">
        <f aca="false">IF(AU149="Optimal", 1, 0)</f>
        <v>1</v>
      </c>
    </row>
    <row r="150" customFormat="false" ht="12.8" hidden="false" customHeight="false" outlineLevel="0" collapsed="false">
      <c r="A150" s="1" t="n">
        <v>10</v>
      </c>
      <c r="B150" s="23" t="s">
        <v>49</v>
      </c>
      <c r="C150" s="24" t="s">
        <v>88</v>
      </c>
      <c r="D150" s="32" t="n">
        <v>125</v>
      </c>
      <c r="E150" s="32" t="n">
        <v>736</v>
      </c>
      <c r="F150" s="32" t="n">
        <v>34</v>
      </c>
      <c r="G150" s="25" t="s">
        <v>77</v>
      </c>
      <c r="H150" s="3" t="n">
        <v>0</v>
      </c>
      <c r="I150" s="26" t="s">
        <v>53</v>
      </c>
      <c r="J150" s="26" t="n">
        <f aca="false">IF(I150="tl", 0, 1)</f>
        <v>0</v>
      </c>
      <c r="K150" s="26" t="s">
        <v>53</v>
      </c>
      <c r="L150" s="26" t="n">
        <f aca="false">IF(K150="tl", 0, 1)</f>
        <v>0</v>
      </c>
      <c r="M150" s="26" t="s">
        <v>53</v>
      </c>
      <c r="N150" s="26" t="n">
        <f aca="false">IF(M150="tl", 0, 1)</f>
        <v>0</v>
      </c>
      <c r="O150" s="26"/>
      <c r="P150" s="23" t="n">
        <v>0</v>
      </c>
      <c r="Q150" s="23"/>
      <c r="R150" s="2" t="n">
        <f aca="false">IF(S150=C150, 1, 0)</f>
        <v>1</v>
      </c>
      <c r="S150" s="27" t="s">
        <v>88</v>
      </c>
      <c r="T150" s="27" t="n">
        <v>125</v>
      </c>
      <c r="U150" s="27" t="n">
        <v>736</v>
      </c>
      <c r="V150" s="3" t="s">
        <v>54</v>
      </c>
      <c r="W150" s="3" t="n">
        <v>58</v>
      </c>
      <c r="X150" s="3" t="n">
        <v>12.5577</v>
      </c>
      <c r="Y150" s="3" t="n">
        <v>1800.17</v>
      </c>
      <c r="Z150" s="3" t="n">
        <v>1254.48</v>
      </c>
      <c r="AA150" s="3" t="n">
        <v>12476</v>
      </c>
      <c r="AB150" s="3" t="n">
        <v>363</v>
      </c>
      <c r="AC150" s="3" t="n">
        <v>3069</v>
      </c>
      <c r="AD150" s="3" t="n">
        <v>5278</v>
      </c>
      <c r="AE150" s="3" t="n">
        <v>1</v>
      </c>
      <c r="AF150" s="3" t="n">
        <v>0</v>
      </c>
      <c r="AG150" s="3" t="n">
        <v>57</v>
      </c>
      <c r="AH150" s="3" t="n">
        <v>9.14634</v>
      </c>
      <c r="AI150" s="3" t="n">
        <v>88</v>
      </c>
      <c r="AJ150" s="2" t="n">
        <f aca="false">IF(V150="Optimal", 1, 0)</f>
        <v>0</v>
      </c>
      <c r="AK150" s="29" t="b">
        <f aca="false">IF(AJ150=1, W150-G150)</f>
        <v>0</v>
      </c>
      <c r="AL150" s="4" t="n">
        <f aca="false">IF(AND(AH150&lt;&gt;-1, G150&lt;&gt;"-", G150&lt;&gt;"."), ((G150-AH150)/G150)*100, -1)</f>
        <v>-1</v>
      </c>
      <c r="AN150" s="5" t="n">
        <f aca="false">IF(AND(AO150=C150, A150=AP150), 1, 0)</f>
        <v>1</v>
      </c>
      <c r="AO150" s="5" t="s">
        <v>88</v>
      </c>
      <c r="AP150" s="5" t="n">
        <v>10</v>
      </c>
      <c r="AQ150" s="5" t="n">
        <v>3600</v>
      </c>
      <c r="AR150" s="5" t="n">
        <v>125</v>
      </c>
      <c r="AS150" s="5" t="n">
        <v>736</v>
      </c>
      <c r="AT150" s="28" t="n">
        <v>3600</v>
      </c>
      <c r="AU150" s="28" t="s">
        <v>54</v>
      </c>
      <c r="AV150" s="28" t="n">
        <v>120.717</v>
      </c>
      <c r="AW150" s="28" t="n">
        <v>72</v>
      </c>
      <c r="AX150" s="28" t="n">
        <v>53</v>
      </c>
      <c r="AY150" s="28" t="n">
        <v>1205</v>
      </c>
      <c r="AZ150" s="28" t="n">
        <v>8818</v>
      </c>
      <c r="BA150" s="28" t="n">
        <v>626</v>
      </c>
      <c r="BB150" s="6" t="n">
        <f aca="false">IF(AU150="Optimal", 1, 0)</f>
        <v>0</v>
      </c>
    </row>
    <row r="151" customFormat="false" ht="12.8" hidden="false" customHeight="false" outlineLevel="0" collapsed="false">
      <c r="A151" s="1" t="n">
        <v>10</v>
      </c>
      <c r="B151" s="23" t="s">
        <v>49</v>
      </c>
      <c r="C151" s="24" t="s">
        <v>89</v>
      </c>
      <c r="D151" s="32" t="n">
        <v>125</v>
      </c>
      <c r="E151" s="32" t="n">
        <v>3891</v>
      </c>
      <c r="F151" s="32" t="n">
        <v>10</v>
      </c>
      <c r="G151" s="25" t="n">
        <v>115</v>
      </c>
      <c r="H151" s="26" t="n">
        <v>1</v>
      </c>
      <c r="I151" s="26" t="n">
        <v>0.27</v>
      </c>
      <c r="J151" s="26" t="n">
        <f aca="false">IF(I151="tl", 0, 1)</f>
        <v>1</v>
      </c>
      <c r="K151" s="26" t="n">
        <v>0.01</v>
      </c>
      <c r="L151" s="26" t="n">
        <f aca="false">IF(K151="tl", 0, 1)</f>
        <v>1</v>
      </c>
      <c r="M151" s="26" t="n">
        <v>0</v>
      </c>
      <c r="N151" s="26" t="n">
        <f aca="false">IF(M151="tl", 0, 1)</f>
        <v>1</v>
      </c>
      <c r="O151" s="26"/>
      <c r="P151" s="23" t="n">
        <v>113</v>
      </c>
      <c r="Q151" s="23"/>
      <c r="R151" s="2" t="n">
        <f aca="false">IF(S151=C151, 1, 0)</f>
        <v>1</v>
      </c>
      <c r="S151" s="27" t="s">
        <v>89</v>
      </c>
      <c r="T151" s="27" t="n">
        <v>125</v>
      </c>
      <c r="U151" s="27" t="n">
        <v>3891</v>
      </c>
      <c r="V151" s="3" t="s">
        <v>54</v>
      </c>
      <c r="W151" s="3" t="n">
        <v>115</v>
      </c>
      <c r="X151" s="3" t="n">
        <v>9.14634</v>
      </c>
      <c r="Y151" s="3" t="n">
        <v>1800.4</v>
      </c>
      <c r="Z151" s="3" t="n">
        <v>137.684</v>
      </c>
      <c r="AA151" s="3" t="n">
        <v>7605</v>
      </c>
      <c r="AB151" s="3" t="n">
        <v>3</v>
      </c>
      <c r="AC151" s="3" t="n">
        <v>15689</v>
      </c>
      <c r="AD151" s="3" t="n">
        <v>27363</v>
      </c>
      <c r="AE151" s="3" t="n">
        <v>1</v>
      </c>
      <c r="AF151" s="3" t="n">
        <v>0</v>
      </c>
      <c r="AG151" s="3" t="n">
        <v>1</v>
      </c>
      <c r="AH151" s="3" t="n">
        <v>9.14634</v>
      </c>
      <c r="AI151" s="3" t="n">
        <v>115</v>
      </c>
      <c r="AJ151" s="2" t="n">
        <f aca="false">IF(V151="Optimal", 1, 0)</f>
        <v>0</v>
      </c>
      <c r="AK151" s="29" t="b">
        <f aca="false">IF(AJ151=1, W151-G151)</f>
        <v>0</v>
      </c>
      <c r="AL151" s="4" t="n">
        <f aca="false">IF(AND(AH151&lt;&gt;-1, G151&lt;&gt;"-", G151&lt;&gt;"."), ((G151-AH151)/G151)*100, -1)</f>
        <v>92.0466608695652</v>
      </c>
      <c r="AN151" s="5" t="n">
        <f aca="false">IF(AND(AO151=C151, A151=AP151), 1, 0)</f>
        <v>1</v>
      </c>
      <c r="AO151" s="5" t="s">
        <v>89</v>
      </c>
      <c r="AP151" s="5" t="n">
        <v>10</v>
      </c>
      <c r="AQ151" s="5" t="n">
        <v>3600</v>
      </c>
      <c r="AR151" s="5" t="n">
        <v>125</v>
      </c>
      <c r="AS151" s="5" t="n">
        <v>3891</v>
      </c>
      <c r="AT151" s="28" t="n">
        <v>3600</v>
      </c>
      <c r="AU151" s="28" t="s">
        <v>54</v>
      </c>
      <c r="AV151" s="28" t="n">
        <v>114.133</v>
      </c>
      <c r="AW151" s="28" t="s">
        <v>175</v>
      </c>
      <c r="AX151" s="28" t="s">
        <v>175</v>
      </c>
      <c r="AY151" s="28" t="n">
        <v>1049</v>
      </c>
      <c r="AZ151" s="28" t="n">
        <v>31726</v>
      </c>
      <c r="BA151" s="28" t="n">
        <v>1565</v>
      </c>
      <c r="BB151" s="6" t="n">
        <f aca="false">IF(AU151="Optimal", 1, 0)</f>
        <v>0</v>
      </c>
    </row>
    <row r="152" customFormat="false" ht="12.8" hidden="false" customHeight="false" outlineLevel="0" collapsed="false">
      <c r="A152" s="1" t="n">
        <v>10</v>
      </c>
      <c r="B152" s="23" t="s">
        <v>67</v>
      </c>
      <c r="C152" s="24" t="s">
        <v>90</v>
      </c>
      <c r="D152" s="32" t="n">
        <v>59</v>
      </c>
      <c r="E152" s="32" t="n">
        <v>256</v>
      </c>
      <c r="F152" s="32" t="n">
        <v>15</v>
      </c>
      <c r="G152" s="25" t="n">
        <v>25</v>
      </c>
      <c r="H152" s="26" t="n">
        <v>1</v>
      </c>
      <c r="I152" s="25" t="n">
        <v>966.14</v>
      </c>
      <c r="J152" s="26" t="n">
        <f aca="false">IF(I152="tl", 0, 1)</f>
        <v>1</v>
      </c>
      <c r="K152" s="25" t="n">
        <v>23.88</v>
      </c>
      <c r="L152" s="26" t="n">
        <f aca="false">IF(K152="tl", 0, 1)</f>
        <v>1</v>
      </c>
      <c r="M152" s="25" t="s">
        <v>53</v>
      </c>
      <c r="N152" s="26" t="n">
        <f aca="false">IF(M152="tl", 0, 1)</f>
        <v>0</v>
      </c>
      <c r="O152" s="26"/>
      <c r="P152" s="23" t="n">
        <v>0</v>
      </c>
      <c r="Q152" s="23"/>
      <c r="R152" s="2" t="n">
        <f aca="false">IF(S152=C152, 1, 0)</f>
        <v>1</v>
      </c>
      <c r="S152" s="27" t="s">
        <v>90</v>
      </c>
      <c r="T152" s="27" t="n">
        <v>59</v>
      </c>
      <c r="U152" s="27" t="n">
        <v>256</v>
      </c>
      <c r="V152" s="3" t="s">
        <v>54</v>
      </c>
      <c r="W152" s="3" t="n">
        <v>26</v>
      </c>
      <c r="X152" s="3" t="n">
        <v>15.5833</v>
      </c>
      <c r="Y152" s="3" t="n">
        <v>1800.24</v>
      </c>
      <c r="Z152" s="3" t="n">
        <v>1526.56</v>
      </c>
      <c r="AA152" s="3" t="n">
        <v>16104</v>
      </c>
      <c r="AB152" s="3" t="n">
        <v>1022</v>
      </c>
      <c r="AC152" s="3" t="n">
        <v>1083</v>
      </c>
      <c r="AD152" s="3" t="n">
        <v>1852</v>
      </c>
      <c r="AE152" s="3" t="n">
        <v>3</v>
      </c>
      <c r="AF152" s="3" t="n">
        <v>2</v>
      </c>
      <c r="AG152" s="3" t="n">
        <v>25</v>
      </c>
      <c r="AH152" s="3" t="n">
        <v>9.31579</v>
      </c>
      <c r="AI152" s="3" t="n">
        <v>45</v>
      </c>
      <c r="AJ152" s="2" t="n">
        <f aca="false">IF(V152="Optimal", 1, 0)</f>
        <v>0</v>
      </c>
      <c r="AK152" s="29" t="b">
        <f aca="false">IF(AJ152=1, W152-G152)</f>
        <v>0</v>
      </c>
      <c r="AL152" s="4" t="n">
        <f aca="false">IF(AND(AH152&lt;&gt;-1, G152&lt;&gt;"-", G152&lt;&gt;"."), ((G152-AH152)/G152)*100, -1)</f>
        <v>62.73684</v>
      </c>
      <c r="AN152" s="5" t="n">
        <f aca="false">IF(AND(AO152=C152, A152=AP152), 1, 0)</f>
        <v>1</v>
      </c>
      <c r="AO152" s="5" t="s">
        <v>90</v>
      </c>
      <c r="AP152" s="5" t="n">
        <v>10</v>
      </c>
      <c r="AQ152" s="5" t="n">
        <v>3600</v>
      </c>
      <c r="AR152" s="5" t="n">
        <v>59</v>
      </c>
      <c r="AS152" s="5" t="n">
        <v>256</v>
      </c>
      <c r="AT152" s="28" t="n">
        <v>3600</v>
      </c>
      <c r="AU152" s="28" t="s">
        <v>54</v>
      </c>
      <c r="AV152" s="28" t="n">
        <v>45.4124</v>
      </c>
      <c r="AW152" s="28" t="n">
        <v>34</v>
      </c>
      <c r="AX152" s="28" t="n">
        <v>25</v>
      </c>
      <c r="AY152" s="28" t="n">
        <v>424</v>
      </c>
      <c r="AZ152" s="28" t="n">
        <v>5497</v>
      </c>
      <c r="BA152" s="28" t="n">
        <v>176912</v>
      </c>
      <c r="BB152" s="6" t="n">
        <f aca="false">IF(AU152="Optimal", 1, 0)</f>
        <v>0</v>
      </c>
    </row>
    <row r="153" customFormat="false" ht="12.8" hidden="false" customHeight="false" outlineLevel="0" collapsed="false">
      <c r="A153" s="1" t="n">
        <v>10</v>
      </c>
      <c r="B153" s="23" t="s">
        <v>67</v>
      </c>
      <c r="C153" s="24" t="s">
        <v>91</v>
      </c>
      <c r="D153" s="32" t="n">
        <v>66</v>
      </c>
      <c r="E153" s="32" t="n">
        <v>255</v>
      </c>
      <c r="F153" s="32" t="n">
        <v>13</v>
      </c>
      <c r="G153" s="25" t="s">
        <v>77</v>
      </c>
      <c r="H153" s="3" t="n">
        <v>0</v>
      </c>
      <c r="I153" s="25" t="s">
        <v>53</v>
      </c>
      <c r="J153" s="26" t="n">
        <f aca="false">IF(I153="tl", 0, 1)</f>
        <v>0</v>
      </c>
      <c r="K153" s="25" t="s">
        <v>53</v>
      </c>
      <c r="L153" s="26" t="n">
        <f aca="false">IF(K153="tl", 0, 1)</f>
        <v>0</v>
      </c>
      <c r="M153" s="25" t="s">
        <v>53</v>
      </c>
      <c r="N153" s="26" t="n">
        <f aca="false">IF(M153="tl", 0, 1)</f>
        <v>0</v>
      </c>
      <c r="O153" s="26"/>
      <c r="P153" s="23" t="n">
        <v>0</v>
      </c>
      <c r="Q153" s="23"/>
      <c r="R153" s="2" t="n">
        <f aca="false">IF(S153=C153, 1, 0)</f>
        <v>1</v>
      </c>
      <c r="S153" s="27" t="s">
        <v>91</v>
      </c>
      <c r="T153" s="27" t="n">
        <v>66</v>
      </c>
      <c r="U153" s="27" t="n">
        <v>255</v>
      </c>
      <c r="V153" s="3" t="s">
        <v>54</v>
      </c>
      <c r="W153" s="3" t="n">
        <v>40</v>
      </c>
      <c r="X153" s="3" t="n">
        <v>13.44</v>
      </c>
      <c r="Y153" s="3" t="n">
        <v>1800.06</v>
      </c>
      <c r="Z153" s="3" t="n">
        <v>1571.67</v>
      </c>
      <c r="AA153" s="3" t="n">
        <v>14525</v>
      </c>
      <c r="AB153" s="3" t="n">
        <v>1108</v>
      </c>
      <c r="AC153" s="3" t="n">
        <v>1086</v>
      </c>
      <c r="AD153" s="3" t="n">
        <v>1852</v>
      </c>
      <c r="AE153" s="3" t="n">
        <v>15</v>
      </c>
      <c r="AF153" s="3" t="n">
        <v>0</v>
      </c>
      <c r="AG153" s="3" t="n">
        <v>28</v>
      </c>
      <c r="AH153" s="3" t="n">
        <v>9.28125</v>
      </c>
      <c r="AI153" s="3" t="n">
        <v>52</v>
      </c>
      <c r="AJ153" s="2" t="n">
        <f aca="false">IF(V153="Optimal", 1, 0)</f>
        <v>0</v>
      </c>
      <c r="AK153" s="29" t="b">
        <f aca="false">IF(AJ153=1, W153-G153)</f>
        <v>0</v>
      </c>
      <c r="AL153" s="4" t="n">
        <f aca="false">IF(AND(AH153&lt;&gt;-1, G153&lt;&gt;"-", G153&lt;&gt;"."), ((G153-AH153)/G153)*100, -1)</f>
        <v>-1</v>
      </c>
      <c r="AN153" s="5" t="n">
        <f aca="false">IF(AND(AO153=C153, A153=AP153), 1, 0)</f>
        <v>1</v>
      </c>
      <c r="AO153" s="5" t="s">
        <v>91</v>
      </c>
      <c r="AP153" s="5" t="n">
        <v>10</v>
      </c>
      <c r="AQ153" s="5" t="n">
        <v>3600</v>
      </c>
      <c r="AR153" s="5" t="n">
        <v>66</v>
      </c>
      <c r="AS153" s="5" t="n">
        <v>255</v>
      </c>
      <c r="AT153" s="28" t="n">
        <v>3600</v>
      </c>
      <c r="AU153" s="28" t="s">
        <v>54</v>
      </c>
      <c r="AV153" s="28" t="n">
        <v>58.6401</v>
      </c>
      <c r="AW153" s="28" t="n">
        <v>31</v>
      </c>
      <c r="AX153" s="28" t="n">
        <v>35</v>
      </c>
      <c r="AY153" s="28" t="n">
        <v>558</v>
      </c>
      <c r="AZ153" s="28" t="n">
        <v>5796</v>
      </c>
      <c r="BA153" s="28" t="n">
        <v>87386</v>
      </c>
      <c r="BB153" s="6" t="n">
        <f aca="false">IF(AU153="Optimal", 1, 0)</f>
        <v>0</v>
      </c>
    </row>
    <row r="154" customFormat="false" ht="12.8" hidden="false" customHeight="false" outlineLevel="0" collapsed="false">
      <c r="A154" s="1" t="n">
        <v>10</v>
      </c>
      <c r="B154" s="23" t="s">
        <v>67</v>
      </c>
      <c r="C154" s="24" t="s">
        <v>92</v>
      </c>
      <c r="D154" s="32" t="n">
        <v>72</v>
      </c>
      <c r="E154" s="32" t="n">
        <v>170</v>
      </c>
      <c r="F154" s="32" t="n">
        <v>24</v>
      </c>
      <c r="G154" s="25" t="n">
        <v>16</v>
      </c>
      <c r="H154" s="26" t="n">
        <v>1</v>
      </c>
      <c r="I154" s="25" t="s">
        <v>53</v>
      </c>
      <c r="J154" s="26" t="n">
        <f aca="false">IF(I154="tl", 0, 1)</f>
        <v>0</v>
      </c>
      <c r="K154" s="25" t="n">
        <v>28.15</v>
      </c>
      <c r="L154" s="26" t="n">
        <f aca="false">IF(K154="tl", 0, 1)</f>
        <v>1</v>
      </c>
      <c r="M154" s="25" t="s">
        <v>53</v>
      </c>
      <c r="N154" s="26" t="n">
        <f aca="false">IF(M154="tl", 0, 1)</f>
        <v>0</v>
      </c>
      <c r="O154" s="26"/>
      <c r="P154" s="23" t="n">
        <v>0</v>
      </c>
      <c r="Q154" s="23"/>
      <c r="R154" s="2" t="n">
        <f aca="false">IF(S154=C154, 1, 0)</f>
        <v>1</v>
      </c>
      <c r="S154" s="27" t="s">
        <v>92</v>
      </c>
      <c r="T154" s="27" t="n">
        <v>72</v>
      </c>
      <c r="U154" s="27" t="n">
        <v>170</v>
      </c>
      <c r="V154" s="3" t="s">
        <v>54</v>
      </c>
      <c r="W154" s="3" t="n">
        <v>17</v>
      </c>
      <c r="X154" s="3" t="n">
        <v>13.4</v>
      </c>
      <c r="Y154" s="3" t="n">
        <v>1800.05</v>
      </c>
      <c r="Z154" s="3" t="n">
        <v>1603.85</v>
      </c>
      <c r="AA154" s="3" t="n">
        <v>14345</v>
      </c>
      <c r="AB154" s="3" t="n">
        <v>2509</v>
      </c>
      <c r="AC154" s="3" t="n">
        <v>752</v>
      </c>
      <c r="AD154" s="3" t="n">
        <v>1263</v>
      </c>
      <c r="AE154" s="3" t="n">
        <v>44</v>
      </c>
      <c r="AF154" s="3" t="n">
        <v>0</v>
      </c>
      <c r="AG154" s="3" t="n">
        <v>22</v>
      </c>
      <c r="AH154" s="3" t="n">
        <v>9.25714</v>
      </c>
      <c r="AI154" s="3" t="n">
        <v>32</v>
      </c>
      <c r="AJ154" s="2" t="n">
        <f aca="false">IF(V154="Optimal", 1, 0)</f>
        <v>0</v>
      </c>
      <c r="AK154" s="29" t="b">
        <f aca="false">IF(AJ154=1, W154-G154)</f>
        <v>0</v>
      </c>
      <c r="AL154" s="4" t="n">
        <f aca="false">IF(AND(AH154&lt;&gt;-1, G154&lt;&gt;"-", G154&lt;&gt;"."), ((G154-AH154)/G154)*100, -1)</f>
        <v>42.142875</v>
      </c>
      <c r="AN154" s="5" t="n">
        <f aca="false">IF(AND(AO154=C154, A154=AP154), 1, 0)</f>
        <v>1</v>
      </c>
      <c r="AO154" s="5" t="s">
        <v>92</v>
      </c>
      <c r="AP154" s="5" t="n">
        <v>10</v>
      </c>
      <c r="AQ154" s="5" t="n">
        <v>3600</v>
      </c>
      <c r="AR154" s="5" t="n">
        <v>72</v>
      </c>
      <c r="AS154" s="5" t="n">
        <v>170</v>
      </c>
      <c r="AT154" s="28" t="n">
        <v>3600</v>
      </c>
      <c r="AU154" s="28" t="s">
        <v>54</v>
      </c>
      <c r="AV154" s="28" t="n">
        <v>67.5497</v>
      </c>
      <c r="AW154" s="28" t="n">
        <v>55</v>
      </c>
      <c r="AX154" s="28" t="n">
        <v>17</v>
      </c>
      <c r="AY154" s="28" t="n">
        <v>597</v>
      </c>
      <c r="AZ154" s="28" t="n">
        <v>2638</v>
      </c>
      <c r="BA154" s="28" t="n">
        <v>71311</v>
      </c>
      <c r="BB154" s="6" t="n">
        <f aca="false">IF(AU154="Optimal", 1, 0)</f>
        <v>0</v>
      </c>
    </row>
    <row r="155" customFormat="false" ht="12.8" hidden="false" customHeight="false" outlineLevel="0" collapsed="false">
      <c r="A155" s="1" t="n">
        <v>10</v>
      </c>
      <c r="B155" s="23" t="s">
        <v>67</v>
      </c>
      <c r="C155" s="24" t="s">
        <v>93</v>
      </c>
      <c r="D155" s="32" t="n">
        <v>87</v>
      </c>
      <c r="E155" s="32" t="n">
        <v>726</v>
      </c>
      <c r="F155" s="32" t="n">
        <v>16</v>
      </c>
      <c r="G155" s="25" t="n">
        <v>29</v>
      </c>
      <c r="H155" s="26" t="n">
        <v>1</v>
      </c>
      <c r="I155" s="25" t="s">
        <v>53</v>
      </c>
      <c r="J155" s="26" t="n">
        <f aca="false">IF(I155="tl", 0, 1)</f>
        <v>0</v>
      </c>
      <c r="K155" s="25" t="n">
        <v>1994.16</v>
      </c>
      <c r="L155" s="26" t="n">
        <f aca="false">IF(K155="tl", 0, 1)</f>
        <v>1</v>
      </c>
      <c r="M155" s="25" t="s">
        <v>53</v>
      </c>
      <c r="N155" s="26" t="n">
        <f aca="false">IF(M155="tl", 0, 1)</f>
        <v>0</v>
      </c>
      <c r="O155" s="26"/>
      <c r="P155" s="23" t="n">
        <v>0</v>
      </c>
      <c r="Q155" s="23"/>
      <c r="R155" s="2" t="n">
        <f aca="false">IF(S155=C155, 1, 0)</f>
        <v>1</v>
      </c>
      <c r="S155" s="27" t="s">
        <v>93</v>
      </c>
      <c r="T155" s="27" t="n">
        <v>87</v>
      </c>
      <c r="U155" s="27" t="n">
        <v>726</v>
      </c>
      <c r="V155" s="3" t="s">
        <v>54</v>
      </c>
      <c r="W155" s="30" t="n">
        <v>48</v>
      </c>
      <c r="X155" s="30" t="n">
        <v>12.2195</v>
      </c>
      <c r="Y155" s="3" t="n">
        <v>1800.34</v>
      </c>
      <c r="Z155" s="3" t="n">
        <v>1111.55</v>
      </c>
      <c r="AA155" s="3" t="n">
        <v>11904</v>
      </c>
      <c r="AB155" s="3" t="n">
        <v>234</v>
      </c>
      <c r="AC155" s="3" t="n">
        <v>2991</v>
      </c>
      <c r="AD155" s="3" t="n">
        <v>5170</v>
      </c>
      <c r="AE155" s="3" t="n">
        <v>28</v>
      </c>
      <c r="AF155" s="3" t="n">
        <v>36</v>
      </c>
      <c r="AG155" s="3" t="n">
        <v>37</v>
      </c>
      <c r="AH155" s="3" t="n">
        <v>9.21176</v>
      </c>
      <c r="AI155" s="3" t="n">
        <v>67</v>
      </c>
      <c r="AJ155" s="2" t="n">
        <f aca="false">IF(V155="Optimal", 1, 0)</f>
        <v>0</v>
      </c>
      <c r="AK155" s="29" t="b">
        <f aca="false">IF(AJ155=1, W155-G155)</f>
        <v>0</v>
      </c>
      <c r="AL155" s="4" t="n">
        <f aca="false">IF(AND(AH155&lt;&gt;-1, G155&lt;&gt;"-", G155&lt;&gt;"."), ((G155-AH155)/G155)*100, -1)</f>
        <v>68.2353103448276</v>
      </c>
      <c r="AN155" s="5" t="n">
        <f aca="false">IF(AND(AO155=C155, A155=AP155), 1, 0)</f>
        <v>1</v>
      </c>
      <c r="AO155" s="5" t="s">
        <v>93</v>
      </c>
      <c r="AP155" s="5" t="n">
        <v>10</v>
      </c>
      <c r="AQ155" s="5" t="n">
        <v>3600</v>
      </c>
      <c r="AR155" s="5" t="n">
        <v>87</v>
      </c>
      <c r="AS155" s="5" t="n">
        <v>726</v>
      </c>
      <c r="AT155" s="28" t="n">
        <v>3600</v>
      </c>
      <c r="AU155" s="28" t="s">
        <v>54</v>
      </c>
      <c r="AV155" s="28" t="n">
        <v>76.2246</v>
      </c>
      <c r="AW155" s="28" t="n">
        <v>58</v>
      </c>
      <c r="AX155" s="28" t="n">
        <v>29</v>
      </c>
      <c r="AY155" s="28" t="n">
        <v>805</v>
      </c>
      <c r="AZ155" s="28" t="n">
        <v>7854</v>
      </c>
      <c r="BA155" s="28" t="n">
        <v>16766</v>
      </c>
      <c r="BB155" s="6" t="n">
        <f aca="false">IF(AU155="Optimal", 1, 0)</f>
        <v>0</v>
      </c>
    </row>
    <row r="156" customFormat="false" ht="12.8" hidden="false" customHeight="false" outlineLevel="0" collapsed="false">
      <c r="A156" s="1" t="n">
        <v>10</v>
      </c>
      <c r="B156" s="23" t="s">
        <v>64</v>
      </c>
      <c r="C156" s="24" t="s">
        <v>94</v>
      </c>
      <c r="D156" s="32" t="n">
        <v>115</v>
      </c>
      <c r="E156" s="32" t="n">
        <v>613</v>
      </c>
      <c r="F156" s="32" t="n">
        <v>21</v>
      </c>
      <c r="G156" s="25" t="s">
        <v>77</v>
      </c>
      <c r="H156" s="3" t="n">
        <v>0</v>
      </c>
      <c r="I156" s="26" t="s">
        <v>53</v>
      </c>
      <c r="J156" s="26" t="n">
        <f aca="false">IF(I156="tl", 0, 1)</f>
        <v>0</v>
      </c>
      <c r="K156" s="26" t="s">
        <v>53</v>
      </c>
      <c r="L156" s="26" t="n">
        <f aca="false">IF(K156="tl", 0, 1)</f>
        <v>0</v>
      </c>
      <c r="M156" s="26" t="s">
        <v>53</v>
      </c>
      <c r="N156" s="26" t="n">
        <f aca="false">IF(M156="tl", 0, 1)</f>
        <v>0</v>
      </c>
      <c r="O156" s="26"/>
      <c r="P156" s="23" t="n">
        <v>0</v>
      </c>
      <c r="Q156" s="23"/>
      <c r="R156" s="2" t="n">
        <f aca="false">IF(S156=C156, 1, 0)</f>
        <v>1</v>
      </c>
      <c r="S156" s="27" t="s">
        <v>94</v>
      </c>
      <c r="T156" s="27" t="n">
        <v>115</v>
      </c>
      <c r="U156" s="27" t="n">
        <v>613</v>
      </c>
      <c r="V156" s="3" t="s">
        <v>54</v>
      </c>
      <c r="W156" s="3" t="n">
        <v>78</v>
      </c>
      <c r="X156" s="3" t="n">
        <v>13.0769</v>
      </c>
      <c r="Y156" s="3" t="n">
        <v>1800.1</v>
      </c>
      <c r="Z156" s="3" t="n">
        <v>1392.2</v>
      </c>
      <c r="AA156" s="3" t="n">
        <v>11868</v>
      </c>
      <c r="AB156" s="3" t="n">
        <v>436</v>
      </c>
      <c r="AC156" s="3" t="n">
        <v>2567</v>
      </c>
      <c r="AD156" s="3" t="n">
        <v>4407</v>
      </c>
      <c r="AE156" s="3" t="n">
        <v>14</v>
      </c>
      <c r="AF156" s="3" t="n">
        <v>0</v>
      </c>
      <c r="AG156" s="3" t="n">
        <v>22</v>
      </c>
      <c r="AH156" s="3" t="n">
        <v>9.15929</v>
      </c>
      <c r="AI156" s="3" t="n">
        <v>89</v>
      </c>
      <c r="AJ156" s="2" t="n">
        <f aca="false">IF(V156="Optimal", 1, 0)</f>
        <v>0</v>
      </c>
      <c r="AK156" s="29" t="b">
        <f aca="false">IF(AJ156=1, W156-G156)</f>
        <v>0</v>
      </c>
      <c r="AL156" s="4" t="n">
        <f aca="false">IF(AND(AH156&lt;&gt;-1, G156&lt;&gt;"-", G156&lt;&gt;"."), ((G156-AH156)/G156)*100, -1)</f>
        <v>-1</v>
      </c>
      <c r="AN156" s="5" t="n">
        <f aca="false">IF(AND(AO156=C156, A156=AP156), 1, 0)</f>
        <v>1</v>
      </c>
      <c r="AO156" s="5" t="s">
        <v>94</v>
      </c>
      <c r="AP156" s="5" t="n">
        <v>10</v>
      </c>
      <c r="AQ156" s="5" t="n">
        <v>3600</v>
      </c>
      <c r="AR156" s="5" t="n">
        <v>115</v>
      </c>
      <c r="AS156" s="5" t="n">
        <v>613</v>
      </c>
      <c r="AT156" s="28" t="n">
        <v>3600</v>
      </c>
      <c r="AU156" s="28" t="s">
        <v>54</v>
      </c>
      <c r="AV156" s="28" t="n">
        <v>109</v>
      </c>
      <c r="AW156" s="28" t="n">
        <v>65</v>
      </c>
      <c r="AX156" s="28" t="n">
        <v>50</v>
      </c>
      <c r="AY156" s="28" t="n">
        <v>1070</v>
      </c>
      <c r="AZ156" s="28" t="n">
        <v>8475</v>
      </c>
      <c r="BA156" s="28" t="n">
        <v>190</v>
      </c>
      <c r="BB156" s="6" t="n">
        <f aca="false">IF(AU156="Optimal", 1, 0)</f>
        <v>0</v>
      </c>
    </row>
    <row r="157" customFormat="false" ht="12.8" hidden="false" customHeight="false" outlineLevel="0" collapsed="false">
      <c r="A157" s="1" t="n">
        <v>10</v>
      </c>
      <c r="B157" s="23" t="s">
        <v>49</v>
      </c>
      <c r="C157" s="24" t="s">
        <v>95</v>
      </c>
      <c r="D157" s="32" t="n">
        <v>120</v>
      </c>
      <c r="E157" s="32" t="n">
        <v>638</v>
      </c>
      <c r="F157" s="32" t="n">
        <v>22</v>
      </c>
      <c r="G157" s="25" t="s">
        <v>77</v>
      </c>
      <c r="H157" s="3" t="n">
        <v>0</v>
      </c>
      <c r="I157" s="26" t="s">
        <v>53</v>
      </c>
      <c r="J157" s="26" t="n">
        <f aca="false">IF(I157="tl", 0, 1)</f>
        <v>0</v>
      </c>
      <c r="K157" s="26" t="s">
        <v>53</v>
      </c>
      <c r="L157" s="26" t="n">
        <f aca="false">IF(K157="tl", 0, 1)</f>
        <v>0</v>
      </c>
      <c r="M157" s="26" t="s">
        <v>53</v>
      </c>
      <c r="N157" s="26" t="n">
        <f aca="false">IF(M157="tl", 0, 1)</f>
        <v>0</v>
      </c>
      <c r="O157" s="26"/>
      <c r="P157" s="23" t="n">
        <v>0</v>
      </c>
      <c r="Q157" s="23"/>
      <c r="R157" s="2" t="n">
        <f aca="false">IF(S157=C157, 1, 0)</f>
        <v>1</v>
      </c>
      <c r="S157" s="27" t="s">
        <v>95</v>
      </c>
      <c r="T157" s="27" t="n">
        <v>120</v>
      </c>
      <c r="U157" s="27" t="n">
        <v>638</v>
      </c>
      <c r="V157" s="3" t="s">
        <v>54</v>
      </c>
      <c r="W157" s="3" t="n">
        <v>75</v>
      </c>
      <c r="X157" s="3" t="n">
        <v>11.934</v>
      </c>
      <c r="Y157" s="3" t="n">
        <v>1800.21</v>
      </c>
      <c r="Z157" s="3" t="n">
        <v>1403.94</v>
      </c>
      <c r="AA157" s="3" t="n">
        <v>10855</v>
      </c>
      <c r="AB157" s="3" t="n">
        <v>139</v>
      </c>
      <c r="AC157" s="3" t="n">
        <v>2672</v>
      </c>
      <c r="AD157" s="3" t="n">
        <v>4587</v>
      </c>
      <c r="AE157" s="3" t="n">
        <v>10</v>
      </c>
      <c r="AF157" s="3" t="n">
        <v>0</v>
      </c>
      <c r="AG157" s="3" t="n">
        <v>13</v>
      </c>
      <c r="AH157" s="3" t="n">
        <v>9.15254</v>
      </c>
      <c r="AI157" s="3" t="n">
        <v>83</v>
      </c>
      <c r="AJ157" s="2" t="n">
        <f aca="false">IF(V157="Optimal", 1, 0)</f>
        <v>0</v>
      </c>
      <c r="AK157" s="29" t="b">
        <f aca="false">IF(AJ157=1, W157-G157)</f>
        <v>0</v>
      </c>
      <c r="AL157" s="4" t="n">
        <f aca="false">IF(AND(AH157&lt;&gt;-1, G157&lt;&gt;"-", G157&lt;&gt;"."), ((G157-AH157)/G157)*100, -1)</f>
        <v>-1</v>
      </c>
      <c r="AN157" s="5" t="n">
        <f aca="false">IF(AND(AO157=C157, A157=AP157), 1, 0)</f>
        <v>1</v>
      </c>
      <c r="AO157" s="5" t="s">
        <v>95</v>
      </c>
      <c r="AP157" s="5" t="n">
        <v>10</v>
      </c>
      <c r="AQ157" s="5" t="n">
        <v>3600</v>
      </c>
      <c r="AR157" s="5" t="n">
        <v>120</v>
      </c>
      <c r="AS157" s="5" t="n">
        <v>638</v>
      </c>
      <c r="AT157" s="28" t="n">
        <v>3600</v>
      </c>
      <c r="AU157" s="28" t="s">
        <v>54</v>
      </c>
      <c r="AV157" s="28" t="n">
        <v>117.378</v>
      </c>
      <c r="AW157" s="28" t="n">
        <v>69</v>
      </c>
      <c r="AX157" s="28" t="n">
        <v>51</v>
      </c>
      <c r="AY157" s="28" t="n">
        <v>1137</v>
      </c>
      <c r="AZ157" s="28" t="n">
        <v>7078</v>
      </c>
      <c r="BA157" s="28" t="n">
        <v>600</v>
      </c>
      <c r="BB157" s="6" t="n">
        <f aca="false">IF(AU157="Optimal", 1, 0)</f>
        <v>0</v>
      </c>
    </row>
    <row r="158" customFormat="false" ht="12.8" hidden="false" customHeight="false" outlineLevel="0" collapsed="false">
      <c r="A158" s="1" t="n">
        <v>10</v>
      </c>
      <c r="B158" s="23" t="s">
        <v>67</v>
      </c>
      <c r="C158" s="24" t="s">
        <v>96</v>
      </c>
      <c r="D158" s="32" t="n">
        <v>115</v>
      </c>
      <c r="E158" s="32" t="n">
        <v>576</v>
      </c>
      <c r="F158" s="32" t="n">
        <v>33</v>
      </c>
      <c r="G158" s="25" t="n">
        <v>24</v>
      </c>
      <c r="H158" s="26" t="n">
        <v>1</v>
      </c>
      <c r="I158" s="25" t="s">
        <v>53</v>
      </c>
      <c r="J158" s="26" t="n">
        <f aca="false">IF(I158="tl", 0, 1)</f>
        <v>0</v>
      </c>
      <c r="K158" s="25" t="n">
        <v>3139.1</v>
      </c>
      <c r="L158" s="26" t="n">
        <f aca="false">IF(K158="tl", 0, 1)</f>
        <v>1</v>
      </c>
      <c r="M158" s="25" t="s">
        <v>53</v>
      </c>
      <c r="N158" s="26" t="n">
        <f aca="false">IF(M158="tl", 0, 1)</f>
        <v>0</v>
      </c>
      <c r="O158" s="26"/>
      <c r="P158" s="23" t="n">
        <v>0</v>
      </c>
      <c r="Q158" s="23"/>
      <c r="R158" s="2" t="n">
        <f aca="false">IF(S158=C158, 1, 0)</f>
        <v>1</v>
      </c>
      <c r="S158" s="27" t="s">
        <v>96</v>
      </c>
      <c r="T158" s="27" t="n">
        <v>115</v>
      </c>
      <c r="U158" s="27" t="n">
        <v>576</v>
      </c>
      <c r="V158" s="3" t="s">
        <v>54</v>
      </c>
      <c r="W158" s="3" t="n">
        <v>49</v>
      </c>
      <c r="X158" s="3" t="n">
        <v>13.15</v>
      </c>
      <c r="Y158" s="3" t="n">
        <v>1800.19</v>
      </c>
      <c r="Z158" s="3" t="n">
        <v>1044.72</v>
      </c>
      <c r="AA158" s="3" t="n">
        <v>12512</v>
      </c>
      <c r="AB158" s="3" t="n">
        <v>151</v>
      </c>
      <c r="AC158" s="3" t="n">
        <v>2419</v>
      </c>
      <c r="AD158" s="3" t="n">
        <v>4148</v>
      </c>
      <c r="AE158" s="3" t="n">
        <v>5</v>
      </c>
      <c r="AF158" s="3" t="n">
        <v>0</v>
      </c>
      <c r="AG158" s="3" t="n">
        <v>42</v>
      </c>
      <c r="AH158" s="3" t="n">
        <v>9.15929</v>
      </c>
      <c r="AI158" s="3" t="n">
        <v>73</v>
      </c>
      <c r="AJ158" s="2" t="n">
        <f aca="false">IF(V158="Optimal", 1, 0)</f>
        <v>0</v>
      </c>
      <c r="AK158" s="29" t="b">
        <f aca="false">IF(AJ158=1, W158-G158)</f>
        <v>0</v>
      </c>
      <c r="AL158" s="4" t="n">
        <f aca="false">IF(AND(AH158&lt;&gt;-1, G158&lt;&gt;"-", G158&lt;&gt;"."), ((G158-AH158)/G158)*100, -1)</f>
        <v>61.8362916666667</v>
      </c>
      <c r="AN158" s="5" t="n">
        <f aca="false">IF(AND(AO158=C158, A158=AP158), 1, 0)</f>
        <v>1</v>
      </c>
      <c r="AO158" s="5" t="s">
        <v>96</v>
      </c>
      <c r="AP158" s="5" t="n">
        <v>10</v>
      </c>
      <c r="AQ158" s="5" t="n">
        <v>3600</v>
      </c>
      <c r="AR158" s="5" t="n">
        <v>115</v>
      </c>
      <c r="AS158" s="5" t="n">
        <v>576</v>
      </c>
      <c r="AT158" s="28" t="n">
        <v>3600</v>
      </c>
      <c r="AU158" s="28" t="s">
        <v>54</v>
      </c>
      <c r="AV158" s="28" t="n">
        <v>107.134</v>
      </c>
      <c r="AW158" s="28" t="n">
        <v>89</v>
      </c>
      <c r="AX158" s="28" t="n">
        <v>26</v>
      </c>
      <c r="AY158" s="28" t="n">
        <v>1054</v>
      </c>
      <c r="AZ158" s="28" t="n">
        <v>5824</v>
      </c>
      <c r="BA158" s="28" t="n">
        <v>6734</v>
      </c>
      <c r="BB158" s="6" t="n">
        <f aca="false">IF(AU158="Optimal", 1, 0)</f>
        <v>0</v>
      </c>
    </row>
    <row r="159" customFormat="false" ht="12.8" hidden="false" customHeight="false" outlineLevel="0" collapsed="false">
      <c r="A159" s="1" t="n">
        <v>10</v>
      </c>
      <c r="B159" s="23" t="s">
        <v>49</v>
      </c>
      <c r="C159" s="24" t="s">
        <v>97</v>
      </c>
      <c r="D159" s="32" t="n">
        <v>74</v>
      </c>
      <c r="E159" s="32" t="n">
        <v>301</v>
      </c>
      <c r="F159" s="32" t="n">
        <v>27</v>
      </c>
      <c r="G159" s="25" t="n">
        <v>3</v>
      </c>
      <c r="H159" s="26" t="n">
        <v>1</v>
      </c>
      <c r="I159" s="26" t="n">
        <v>5.96</v>
      </c>
      <c r="J159" s="26" t="n">
        <f aca="false">IF(I159="tl", 0, 1)</f>
        <v>1</v>
      </c>
      <c r="K159" s="26" t="n">
        <v>9.95</v>
      </c>
      <c r="L159" s="26" t="n">
        <f aca="false">IF(K159="tl", 0, 1)</f>
        <v>1</v>
      </c>
      <c r="M159" s="26" t="n">
        <v>0.01</v>
      </c>
      <c r="N159" s="26" t="n">
        <f aca="false">IF(M159="tl", 0, 1)</f>
        <v>1</v>
      </c>
      <c r="O159" s="26"/>
      <c r="P159" s="23" t="n">
        <v>0</v>
      </c>
      <c r="Q159" s="23"/>
      <c r="R159" s="2" t="n">
        <f aca="false">IF(S159=C159, 1, 0)</f>
        <v>1</v>
      </c>
      <c r="S159" s="27" t="s">
        <v>97</v>
      </c>
      <c r="T159" s="27" t="n">
        <v>74</v>
      </c>
      <c r="U159" s="27" t="n">
        <v>301</v>
      </c>
      <c r="V159" s="3" t="s">
        <v>51</v>
      </c>
      <c r="W159" s="3" t="n">
        <v>3</v>
      </c>
      <c r="X159" s="3" t="n">
        <v>3</v>
      </c>
      <c r="Y159" s="3" t="n">
        <v>1.88657</v>
      </c>
      <c r="Z159" s="3" t="n">
        <v>0.578032</v>
      </c>
      <c r="AA159" s="3" t="n">
        <v>524</v>
      </c>
      <c r="AB159" s="3" t="n">
        <v>1</v>
      </c>
      <c r="AC159" s="3" t="n">
        <v>1278</v>
      </c>
      <c r="AD159" s="3" t="n">
        <v>2182</v>
      </c>
      <c r="AE159" s="3" t="n">
        <v>149</v>
      </c>
      <c r="AF159" s="3" t="n">
        <v>0</v>
      </c>
      <c r="AG159" s="3" t="n">
        <v>0</v>
      </c>
      <c r="AH159" s="3" t="n">
        <v>-1</v>
      </c>
      <c r="AI159" s="3" t="n">
        <v>-1</v>
      </c>
      <c r="AJ159" s="2" t="n">
        <f aca="false">IF(V159="Optimal", 1, 0)</f>
        <v>1</v>
      </c>
      <c r="AK159" s="3" t="n">
        <f aca="false">IF(AJ159=1, W159-G159)</f>
        <v>0</v>
      </c>
      <c r="AL159" s="4" t="n">
        <f aca="false">IF(AND(AH159&lt;&gt;-1, G159&lt;&gt;"-", G159&lt;&gt;"."), ((G159-AH159)/G159)*100, -1)</f>
        <v>-1</v>
      </c>
      <c r="AN159" s="5" t="n">
        <f aca="false">IF(AND(AO159=C159, A159=AP159), 1, 0)</f>
        <v>1</v>
      </c>
      <c r="AO159" s="5" t="s">
        <v>97</v>
      </c>
      <c r="AP159" s="5" t="n">
        <v>10</v>
      </c>
      <c r="AQ159" s="5" t="n">
        <v>3600</v>
      </c>
      <c r="AR159" s="5" t="n">
        <v>74</v>
      </c>
      <c r="AS159" s="5" t="n">
        <v>301</v>
      </c>
      <c r="AT159" s="28" t="n">
        <v>85.1373</v>
      </c>
      <c r="AU159" s="28" t="s">
        <v>51</v>
      </c>
      <c r="AV159" s="28" t="n">
        <v>71</v>
      </c>
      <c r="AW159" s="28" t="n">
        <v>71</v>
      </c>
      <c r="AX159" s="28" t="n">
        <v>3</v>
      </c>
      <c r="AY159" s="28" t="n">
        <v>695</v>
      </c>
      <c r="AZ159" s="28" t="n">
        <v>1464</v>
      </c>
      <c r="BA159" s="28" t="n">
        <v>306</v>
      </c>
      <c r="BB159" s="6" t="n">
        <f aca="false">IF(AU159="Optimal", 1, 0)</f>
        <v>1</v>
      </c>
    </row>
    <row r="160" customFormat="false" ht="12.8" hidden="false" customHeight="false" outlineLevel="0" collapsed="false">
      <c r="A160" s="1" t="n">
        <v>10</v>
      </c>
      <c r="B160" s="23" t="s">
        <v>67</v>
      </c>
      <c r="C160" s="24" t="s">
        <v>99</v>
      </c>
      <c r="D160" s="32" t="n">
        <v>59</v>
      </c>
      <c r="E160" s="32" t="n">
        <v>329</v>
      </c>
      <c r="F160" s="32" t="n">
        <v>20</v>
      </c>
      <c r="G160" s="25" t="n">
        <v>13</v>
      </c>
      <c r="H160" s="26" t="n">
        <v>1</v>
      </c>
      <c r="I160" s="25" t="n">
        <v>4.17</v>
      </c>
      <c r="J160" s="26" t="n">
        <f aca="false">IF(I160="tl", 0, 1)</f>
        <v>1</v>
      </c>
      <c r="K160" s="25" t="n">
        <v>5.17</v>
      </c>
      <c r="L160" s="26" t="n">
        <f aca="false">IF(K160="tl", 0, 1)</f>
        <v>1</v>
      </c>
      <c r="M160" s="25" t="n">
        <v>2.07</v>
      </c>
      <c r="N160" s="26" t="n">
        <f aca="false">IF(M160="tl", 0, 1)</f>
        <v>1</v>
      </c>
      <c r="O160" s="26"/>
      <c r="P160" s="23" t="n">
        <v>0</v>
      </c>
      <c r="Q160" s="23"/>
      <c r="R160" s="2" t="n">
        <f aca="false">IF(S160=C160, 1, 0)</f>
        <v>1</v>
      </c>
      <c r="S160" s="27" t="s">
        <v>99</v>
      </c>
      <c r="T160" s="27" t="n">
        <v>59</v>
      </c>
      <c r="U160" s="27" t="n">
        <v>329</v>
      </c>
      <c r="V160" s="3" t="s">
        <v>51</v>
      </c>
      <c r="W160" s="3" t="n">
        <v>13</v>
      </c>
      <c r="X160" s="3" t="n">
        <v>13</v>
      </c>
      <c r="Y160" s="3" t="n">
        <v>114.391</v>
      </c>
      <c r="Z160" s="3" t="n">
        <v>77.652</v>
      </c>
      <c r="AA160" s="3" t="n">
        <v>3644</v>
      </c>
      <c r="AB160" s="3" t="n">
        <v>96</v>
      </c>
      <c r="AC160" s="3" t="n">
        <v>1375</v>
      </c>
      <c r="AD160" s="3" t="n">
        <v>2363</v>
      </c>
      <c r="AE160" s="3" t="n">
        <v>21</v>
      </c>
      <c r="AF160" s="3" t="n">
        <v>0</v>
      </c>
      <c r="AG160" s="3" t="n">
        <v>12</v>
      </c>
      <c r="AH160" s="3" t="n">
        <v>9.09302</v>
      </c>
      <c r="AI160" s="3" t="n">
        <v>37</v>
      </c>
      <c r="AJ160" s="2" t="n">
        <f aca="false">IF(V160="Optimal", 1, 0)</f>
        <v>1</v>
      </c>
      <c r="AK160" s="3" t="n">
        <f aca="false">IF(AJ160=1, W160-G160)</f>
        <v>0</v>
      </c>
      <c r="AL160" s="4" t="n">
        <f aca="false">IF(AND(AH160&lt;&gt;-1, G160&lt;&gt;"-", G160&lt;&gt;"."), ((G160-AH160)/G160)*100, -1)</f>
        <v>30.0536923076923</v>
      </c>
      <c r="AN160" s="5" t="n">
        <f aca="false">IF(AND(AO160=C160, A160=AP160), 1, 0)</f>
        <v>1</v>
      </c>
      <c r="AO160" s="5" t="s">
        <v>99</v>
      </c>
      <c r="AP160" s="5" t="n">
        <v>10</v>
      </c>
      <c r="AQ160" s="5" t="n">
        <v>3600</v>
      </c>
      <c r="AR160" s="5" t="n">
        <v>59</v>
      </c>
      <c r="AS160" s="5" t="n">
        <v>329</v>
      </c>
      <c r="AT160" s="28" t="n">
        <v>695.721</v>
      </c>
      <c r="AU160" s="28" t="s">
        <v>51</v>
      </c>
      <c r="AV160" s="28" t="n">
        <v>46</v>
      </c>
      <c r="AW160" s="28" t="n">
        <v>46</v>
      </c>
      <c r="AX160" s="28" t="n">
        <v>13</v>
      </c>
      <c r="AY160" s="28" t="n">
        <v>512</v>
      </c>
      <c r="AZ160" s="28" t="n">
        <v>2917</v>
      </c>
      <c r="BA160" s="28" t="n">
        <v>4120</v>
      </c>
      <c r="BB160" s="6" t="n">
        <f aca="false">IF(AU160="Optimal", 1, 0)</f>
        <v>1</v>
      </c>
    </row>
    <row r="161" customFormat="false" ht="12.8" hidden="false" customHeight="false" outlineLevel="0" collapsed="false">
      <c r="A161" s="1" t="n">
        <v>10</v>
      </c>
      <c r="B161" s="23" t="s">
        <v>64</v>
      </c>
      <c r="C161" s="24" t="s">
        <v>100</v>
      </c>
      <c r="D161" s="32" t="n">
        <v>198</v>
      </c>
      <c r="E161" s="32" t="n">
        <v>2742</v>
      </c>
      <c r="F161" s="32" t="n">
        <v>40</v>
      </c>
      <c r="G161" s="25" t="n">
        <v>12</v>
      </c>
      <c r="H161" s="26" t="n">
        <v>1</v>
      </c>
      <c r="I161" s="26" t="n">
        <v>1817.51</v>
      </c>
      <c r="J161" s="26" t="n">
        <f aca="false">IF(I161="tl", 0, 1)</f>
        <v>1</v>
      </c>
      <c r="K161" s="26" t="s">
        <v>53</v>
      </c>
      <c r="L161" s="26" t="n">
        <f aca="false">IF(K161="tl", 0, 1)</f>
        <v>0</v>
      </c>
      <c r="M161" s="26" t="n">
        <v>269.73</v>
      </c>
      <c r="N161" s="26" t="n">
        <f aca="false">IF(M161="tl", 0, 1)</f>
        <v>1</v>
      </c>
      <c r="O161" s="26"/>
      <c r="P161" s="23" t="n">
        <v>0</v>
      </c>
      <c r="Q161" s="23"/>
      <c r="R161" s="2" t="n">
        <f aca="false">IF(S161=C161, 1, 0)</f>
        <v>1</v>
      </c>
      <c r="S161" s="27" t="s">
        <v>100</v>
      </c>
      <c r="T161" s="27" t="n">
        <v>198</v>
      </c>
      <c r="U161" s="27" t="n">
        <v>2742</v>
      </c>
      <c r="V161" s="3" t="s">
        <v>54</v>
      </c>
      <c r="W161" s="3" t="n">
        <v>141</v>
      </c>
      <c r="X161" s="3" t="n">
        <v>8.85864</v>
      </c>
      <c r="Y161" s="3" t="n">
        <v>1800</v>
      </c>
      <c r="Z161" s="3" t="n">
        <v>146.509</v>
      </c>
      <c r="AA161" s="3" t="n">
        <v>4167</v>
      </c>
      <c r="AB161" s="3" t="n">
        <v>3</v>
      </c>
      <c r="AC161" s="3" t="n">
        <v>11166</v>
      </c>
      <c r="AD161" s="3" t="n">
        <v>19393</v>
      </c>
      <c r="AE161" s="3" t="n">
        <v>66</v>
      </c>
      <c r="AF161" s="3" t="n">
        <v>0</v>
      </c>
      <c r="AG161" s="3" t="n">
        <v>1</v>
      </c>
      <c r="AH161" s="3" t="n">
        <v>8.85864</v>
      </c>
      <c r="AI161" s="3" t="n">
        <v>141</v>
      </c>
      <c r="AJ161" s="2" t="n">
        <f aca="false">IF(V161="Optimal", 1, 0)</f>
        <v>0</v>
      </c>
      <c r="AK161" s="29" t="b">
        <f aca="false">IF(AJ161=1, W161-G161)</f>
        <v>0</v>
      </c>
      <c r="AL161" s="4" t="n">
        <f aca="false">IF(AND(AH161&lt;&gt;-1, G161&lt;&gt;"-", G161&lt;&gt;"."), ((G161-AH161)/G161)*100, -1)</f>
        <v>26.178</v>
      </c>
      <c r="AN161" s="5" t="n">
        <f aca="false">IF(AND(AO161=C161, A161=AP161), 1, 0)</f>
        <v>1</v>
      </c>
      <c r="AO161" s="5" t="s">
        <v>100</v>
      </c>
      <c r="AP161" s="5" t="n">
        <v>10</v>
      </c>
      <c r="AQ161" s="5" t="n">
        <v>3600</v>
      </c>
      <c r="AR161" s="5" t="n">
        <v>198</v>
      </c>
      <c r="AS161" s="5" t="n">
        <v>2742</v>
      </c>
      <c r="AT161" s="28" t="n">
        <v>3600</v>
      </c>
      <c r="AU161" s="28" t="s">
        <v>54</v>
      </c>
      <c r="AV161" s="28" t="n">
        <v>194.497</v>
      </c>
      <c r="AW161" s="28" t="n">
        <v>185</v>
      </c>
      <c r="AX161" s="28" t="n">
        <v>13</v>
      </c>
      <c r="AY161" s="28" t="n">
        <v>1917</v>
      </c>
      <c r="AZ161" s="28" t="n">
        <v>26993</v>
      </c>
      <c r="BA161" s="28" t="n">
        <v>317</v>
      </c>
      <c r="BB161" s="6" t="n">
        <f aca="false">IF(AU161="Optimal", 1, 0)</f>
        <v>0</v>
      </c>
    </row>
    <row r="162" customFormat="false" ht="12.8" hidden="false" customHeight="false" outlineLevel="0" collapsed="false">
      <c r="A162" s="1" t="n">
        <v>10</v>
      </c>
      <c r="B162" s="23" t="s">
        <v>49</v>
      </c>
      <c r="C162" s="24" t="s">
        <v>101</v>
      </c>
      <c r="D162" s="32" t="n">
        <v>80</v>
      </c>
      <c r="E162" s="32" t="n">
        <v>254</v>
      </c>
      <c r="F162" s="32" t="n">
        <v>38</v>
      </c>
      <c r="G162" s="25" t="n">
        <v>1</v>
      </c>
      <c r="H162" s="26" t="n">
        <v>1</v>
      </c>
      <c r="I162" s="26" t="n">
        <v>0.2</v>
      </c>
      <c r="J162" s="26" t="n">
        <f aca="false">IF(I162="tl", 0, 1)</f>
        <v>1</v>
      </c>
      <c r="K162" s="26" t="n">
        <v>2.89</v>
      </c>
      <c r="L162" s="26" t="n">
        <f aca="false">IF(K162="tl", 0, 1)</f>
        <v>1</v>
      </c>
      <c r="M162" s="26" t="n">
        <v>0</v>
      </c>
      <c r="N162" s="26" t="n">
        <f aca="false">IF(M162="tl", 0, 1)</f>
        <v>1</v>
      </c>
      <c r="O162" s="26"/>
      <c r="P162" s="23" t="n">
        <v>0</v>
      </c>
      <c r="Q162" s="23"/>
      <c r="R162" s="2" t="n">
        <f aca="false">IF(S162=C162, 1, 0)</f>
        <v>1</v>
      </c>
      <c r="S162" s="27" t="s">
        <v>101</v>
      </c>
      <c r="T162" s="27" t="n">
        <v>80</v>
      </c>
      <c r="U162" s="27" t="n">
        <v>254</v>
      </c>
      <c r="V162" s="3" t="s">
        <v>51</v>
      </c>
      <c r="W162" s="30" t="n">
        <v>1</v>
      </c>
      <c r="X162" s="30" t="n">
        <v>1</v>
      </c>
      <c r="Y162" s="3" t="n">
        <v>4.18858</v>
      </c>
      <c r="Z162" s="3" t="n">
        <v>0.987835</v>
      </c>
      <c r="AA162" s="3" t="n">
        <v>644</v>
      </c>
      <c r="AB162" s="3" t="n">
        <v>1</v>
      </c>
      <c r="AC162" s="3" t="n">
        <v>1096</v>
      </c>
      <c r="AD162" s="3" t="n">
        <v>1859</v>
      </c>
      <c r="AE162" s="3" t="n">
        <v>310</v>
      </c>
      <c r="AF162" s="3" t="n">
        <v>0</v>
      </c>
      <c r="AG162" s="3" t="n">
        <v>0</v>
      </c>
      <c r="AH162" s="3" t="n">
        <v>-1</v>
      </c>
      <c r="AI162" s="3" t="n">
        <v>-1</v>
      </c>
      <c r="AJ162" s="2" t="n">
        <f aca="false">IF(V162="Optimal", 1, 0)</f>
        <v>1</v>
      </c>
      <c r="AK162" s="3" t="n">
        <f aca="false">IF(AJ162=1, W162-G162)</f>
        <v>0</v>
      </c>
      <c r="AL162" s="4" t="n">
        <f aca="false">IF(AND(AH162&lt;&gt;-1, G162&lt;&gt;"-", G162&lt;&gt;"."), ((G162-AH162)/G162)*100, -1)</f>
        <v>-1</v>
      </c>
      <c r="AN162" s="5" t="n">
        <f aca="false">IF(AND(AO162=C162, A162=AP162), 1, 0)</f>
        <v>1</v>
      </c>
      <c r="AO162" s="5" t="s">
        <v>101</v>
      </c>
      <c r="AP162" s="5" t="n">
        <v>10</v>
      </c>
      <c r="AQ162" s="5" t="n">
        <v>3600</v>
      </c>
      <c r="AR162" s="5" t="n">
        <v>80</v>
      </c>
      <c r="AS162" s="5" t="n">
        <v>254</v>
      </c>
      <c r="AT162" s="28" t="n">
        <v>39.1329</v>
      </c>
      <c r="AU162" s="28" t="s">
        <v>51</v>
      </c>
      <c r="AV162" s="28" t="n">
        <v>79</v>
      </c>
      <c r="AW162" s="28" t="n">
        <v>79</v>
      </c>
      <c r="AX162" s="28" t="n">
        <v>1</v>
      </c>
      <c r="AY162" s="28" t="n">
        <v>800</v>
      </c>
      <c r="AZ162" s="28" t="n">
        <v>2708</v>
      </c>
      <c r="BA162" s="28" t="n">
        <v>4</v>
      </c>
      <c r="BB162" s="6" t="n">
        <f aca="false">IF(AU162="Optimal", 1, 0)</f>
        <v>1</v>
      </c>
    </row>
    <row r="163" customFormat="false" ht="12.8" hidden="false" customHeight="false" outlineLevel="0" collapsed="false">
      <c r="A163" s="1" t="n">
        <v>10</v>
      </c>
      <c r="B163" s="23" t="s">
        <v>64</v>
      </c>
      <c r="C163" s="24" t="s">
        <v>102</v>
      </c>
      <c r="D163" s="32" t="n">
        <v>34</v>
      </c>
      <c r="E163" s="32" t="n">
        <v>78</v>
      </c>
      <c r="F163" s="32" t="n">
        <v>20</v>
      </c>
      <c r="G163" s="25" t="n">
        <v>4</v>
      </c>
      <c r="H163" s="26" t="n">
        <v>1</v>
      </c>
      <c r="I163" s="26" t="n">
        <v>0.08</v>
      </c>
      <c r="J163" s="26" t="n">
        <f aca="false">IF(I163="tl", 0, 1)</f>
        <v>1</v>
      </c>
      <c r="K163" s="26" t="n">
        <v>0.18</v>
      </c>
      <c r="L163" s="26" t="n">
        <f aca="false">IF(K163="tl", 0, 1)</f>
        <v>1</v>
      </c>
      <c r="M163" s="26" t="n">
        <v>0</v>
      </c>
      <c r="N163" s="26" t="n">
        <f aca="false">IF(M163="tl", 0, 1)</f>
        <v>1</v>
      </c>
      <c r="O163" s="26"/>
      <c r="P163" s="23" t="n">
        <v>1</v>
      </c>
      <c r="Q163" s="23"/>
      <c r="R163" s="2" t="n">
        <f aca="false">IF(S163=C163, 1, 0)</f>
        <v>1</v>
      </c>
      <c r="S163" s="27" t="s">
        <v>102</v>
      </c>
      <c r="T163" s="27" t="n">
        <v>34</v>
      </c>
      <c r="U163" s="27" t="n">
        <v>78</v>
      </c>
      <c r="V163" s="3" t="s">
        <v>51</v>
      </c>
      <c r="W163" s="3" t="n">
        <v>4</v>
      </c>
      <c r="X163" s="3" t="n">
        <v>4</v>
      </c>
      <c r="Y163" s="3" t="n">
        <v>0.189824</v>
      </c>
      <c r="Z163" s="3" t="n">
        <v>0.084575</v>
      </c>
      <c r="AA163" s="3" t="n">
        <v>148</v>
      </c>
      <c r="AB163" s="3" t="n">
        <v>1</v>
      </c>
      <c r="AC163" s="3" t="n">
        <v>346</v>
      </c>
      <c r="AD163" s="3" t="n">
        <v>581</v>
      </c>
      <c r="AE163" s="3" t="n">
        <v>36</v>
      </c>
      <c r="AF163" s="3" t="n">
        <v>0</v>
      </c>
      <c r="AG163" s="3" t="n">
        <v>0</v>
      </c>
      <c r="AH163" s="3" t="n">
        <v>-1</v>
      </c>
      <c r="AI163" s="3" t="n">
        <v>-1</v>
      </c>
      <c r="AJ163" s="2" t="n">
        <f aca="false">IF(V163="Optimal", 1, 0)</f>
        <v>1</v>
      </c>
      <c r="AK163" s="3" t="n">
        <f aca="false">IF(AJ163=1, W163-G163)</f>
        <v>0</v>
      </c>
      <c r="AL163" s="4" t="n">
        <f aca="false">IF(AND(AH163&lt;&gt;-1, G163&lt;&gt;"-", G163&lt;&gt;"."), ((G163-AH163)/G163)*100, -1)</f>
        <v>-1</v>
      </c>
      <c r="AN163" s="5" t="n">
        <f aca="false">IF(AND(AO163=C163, A163=AP163), 1, 0)</f>
        <v>1</v>
      </c>
      <c r="AO163" s="5" t="s">
        <v>102</v>
      </c>
      <c r="AP163" s="5" t="n">
        <v>10</v>
      </c>
      <c r="AQ163" s="5" t="n">
        <v>3600</v>
      </c>
      <c r="AR163" s="5" t="n">
        <v>34</v>
      </c>
      <c r="AS163" s="5" t="n">
        <v>78</v>
      </c>
      <c r="AT163" s="28" t="n">
        <v>13.9744</v>
      </c>
      <c r="AU163" s="28" t="s">
        <v>51</v>
      </c>
      <c r="AV163" s="28" t="n">
        <v>30</v>
      </c>
      <c r="AW163" s="28" t="n">
        <v>30</v>
      </c>
      <c r="AX163" s="28" t="n">
        <v>4</v>
      </c>
      <c r="AY163" s="28" t="n">
        <v>260</v>
      </c>
      <c r="AZ163" s="28" t="n">
        <v>763</v>
      </c>
      <c r="BA163" s="28" t="n">
        <v>8</v>
      </c>
      <c r="BB163" s="6" t="n">
        <f aca="false">IF(AU163="Optimal", 1, 0)</f>
        <v>1</v>
      </c>
    </row>
    <row r="164" customFormat="false" ht="12.8" hidden="false" customHeight="false" outlineLevel="0" collapsed="false">
      <c r="A164" s="1" t="n">
        <v>10</v>
      </c>
      <c r="B164" s="23" t="s">
        <v>67</v>
      </c>
      <c r="C164" s="24" t="s">
        <v>103</v>
      </c>
      <c r="D164" s="32" t="n">
        <v>100</v>
      </c>
      <c r="E164" s="32" t="n">
        <v>1844</v>
      </c>
      <c r="F164" s="32" t="n">
        <v>36</v>
      </c>
      <c r="G164" s="25" t="n">
        <v>19</v>
      </c>
      <c r="H164" s="26" t="n">
        <v>1</v>
      </c>
      <c r="I164" s="25" t="n">
        <v>5.22</v>
      </c>
      <c r="J164" s="26" t="n">
        <f aca="false">IF(I164="tl", 0, 1)</f>
        <v>1</v>
      </c>
      <c r="K164" s="25" t="s">
        <v>53</v>
      </c>
      <c r="L164" s="26" t="n">
        <f aca="false">IF(K164="tl", 0, 1)</f>
        <v>0</v>
      </c>
      <c r="M164" s="25" t="n">
        <v>170.85</v>
      </c>
      <c r="N164" s="26" t="n">
        <f aca="false">IF(M164="tl", 0, 1)</f>
        <v>1</v>
      </c>
      <c r="O164" s="26"/>
      <c r="P164" s="23" t="n">
        <v>0</v>
      </c>
      <c r="Q164" s="23"/>
      <c r="R164" s="2" t="n">
        <f aca="false">IF(S164=C164, 1, 0)</f>
        <v>1</v>
      </c>
      <c r="S164" s="27" t="s">
        <v>103</v>
      </c>
      <c r="T164" s="27" t="n">
        <v>100</v>
      </c>
      <c r="U164" s="27" t="n">
        <v>1844</v>
      </c>
      <c r="V164" s="3" t="s">
        <v>54</v>
      </c>
      <c r="W164" s="3" t="n">
        <v>82</v>
      </c>
      <c r="X164" s="3" t="n">
        <v>9.18367</v>
      </c>
      <c r="Y164" s="3" t="n">
        <v>1800</v>
      </c>
      <c r="Z164" s="3" t="n">
        <v>54.2152</v>
      </c>
      <c r="AA164" s="3" t="n">
        <v>4095</v>
      </c>
      <c r="AB164" s="3" t="n">
        <v>3</v>
      </c>
      <c r="AC164" s="3" t="n">
        <v>7476</v>
      </c>
      <c r="AD164" s="3" t="n">
        <v>13009</v>
      </c>
      <c r="AE164" s="3" t="n">
        <v>9</v>
      </c>
      <c r="AF164" s="3" t="n">
        <v>0</v>
      </c>
      <c r="AG164" s="3" t="n">
        <v>1</v>
      </c>
      <c r="AH164" s="3" t="n">
        <v>9.18367</v>
      </c>
      <c r="AI164" s="3" t="n">
        <v>82</v>
      </c>
      <c r="AJ164" s="2" t="n">
        <f aca="false">IF(V164="Optimal", 1, 0)</f>
        <v>0</v>
      </c>
      <c r="AK164" s="29" t="b">
        <f aca="false">IF(AJ164=1, W164-G164)</f>
        <v>0</v>
      </c>
      <c r="AL164" s="4" t="n">
        <f aca="false">IF(AND(AH164&lt;&gt;-1, G164&lt;&gt;"-", G164&lt;&gt;"."), ((G164-AH164)/G164)*100, -1)</f>
        <v>51.6648947368421</v>
      </c>
      <c r="AN164" s="5" t="n">
        <f aca="false">IF(AND(AO164=C164, A164=AP164), 1, 0)</f>
        <v>1</v>
      </c>
      <c r="AO164" s="5" t="s">
        <v>103</v>
      </c>
      <c r="AP164" s="5" t="n">
        <v>10</v>
      </c>
      <c r="AQ164" s="5" t="n">
        <v>3600</v>
      </c>
      <c r="AR164" s="5" t="n">
        <v>100</v>
      </c>
      <c r="AS164" s="5" t="n">
        <v>1844</v>
      </c>
      <c r="AT164" s="28" t="n">
        <v>3600</v>
      </c>
      <c r="AU164" s="28" t="s">
        <v>54</v>
      </c>
      <c r="AV164" s="28" t="n">
        <v>91.2085</v>
      </c>
      <c r="AW164" s="28" t="n">
        <v>81</v>
      </c>
      <c r="AX164" s="28" t="n">
        <v>20</v>
      </c>
      <c r="AY164" s="28" t="n">
        <v>1000</v>
      </c>
      <c r="AZ164" s="28" t="n">
        <v>18542</v>
      </c>
      <c r="BA164" s="28" t="n">
        <v>3460</v>
      </c>
      <c r="BB164" s="6" t="n">
        <f aca="false">IF(AU164="Optimal", 1, 0)</f>
        <v>0</v>
      </c>
    </row>
    <row r="165" customFormat="false" ht="12.8" hidden="false" customHeight="false" outlineLevel="0" collapsed="false">
      <c r="A165" s="1" t="n">
        <v>10</v>
      </c>
      <c r="B165" s="23" t="s">
        <v>67</v>
      </c>
      <c r="C165" s="24" t="s">
        <v>108</v>
      </c>
      <c r="D165" s="32" t="n">
        <v>100</v>
      </c>
      <c r="E165" s="32" t="n">
        <v>2956</v>
      </c>
      <c r="F165" s="32" t="n">
        <v>17</v>
      </c>
      <c r="G165" s="25" t="n">
        <v>28</v>
      </c>
      <c r="H165" s="26" t="n">
        <v>1</v>
      </c>
      <c r="I165" s="25" t="n">
        <v>6.8</v>
      </c>
      <c r="J165" s="26" t="n">
        <f aca="false">IF(I165="tl", 0, 1)</f>
        <v>1</v>
      </c>
      <c r="K165" s="25" t="s">
        <v>53</v>
      </c>
      <c r="L165" s="26" t="n">
        <f aca="false">IF(K165="tl", 0, 1)</f>
        <v>0</v>
      </c>
      <c r="M165" s="25" t="n">
        <v>3.71</v>
      </c>
      <c r="N165" s="26" t="n">
        <f aca="false">IF(M165="tl", 0, 1)</f>
        <v>1</v>
      </c>
      <c r="O165" s="26"/>
      <c r="P165" s="23" t="n">
        <v>10</v>
      </c>
      <c r="Q165" s="23"/>
      <c r="R165" s="2" t="n">
        <f aca="false">IF(S165=C165, 1, 0)</f>
        <v>1</v>
      </c>
      <c r="S165" s="27" t="s">
        <v>108</v>
      </c>
      <c r="T165" s="27" t="n">
        <v>100</v>
      </c>
      <c r="U165" s="27" t="n">
        <v>2956</v>
      </c>
      <c r="V165" s="3" t="s">
        <v>54</v>
      </c>
      <c r="W165" s="3" t="n">
        <v>89</v>
      </c>
      <c r="X165" s="30" t="n">
        <v>11.0851</v>
      </c>
      <c r="Y165" s="3" t="n">
        <v>1800.13</v>
      </c>
      <c r="Z165" s="3" t="n">
        <v>180.154</v>
      </c>
      <c r="AA165" s="3" t="n">
        <v>6448</v>
      </c>
      <c r="AB165" s="3" t="n">
        <v>14</v>
      </c>
      <c r="AC165" s="3" t="n">
        <v>11924</v>
      </c>
      <c r="AD165" s="3" t="n">
        <v>20793</v>
      </c>
      <c r="AE165" s="3" t="n">
        <v>6</v>
      </c>
      <c r="AF165" s="3" t="n">
        <v>0</v>
      </c>
      <c r="AG165" s="3" t="n">
        <v>8</v>
      </c>
      <c r="AH165" s="3" t="n">
        <v>9.08333</v>
      </c>
      <c r="AI165" s="3" t="n">
        <v>89</v>
      </c>
      <c r="AJ165" s="2" t="n">
        <f aca="false">IF(V165="Optimal", 1, 0)</f>
        <v>0</v>
      </c>
      <c r="AK165" s="29" t="b">
        <f aca="false">IF(AJ165=1, W165-G165)</f>
        <v>0</v>
      </c>
      <c r="AL165" s="4" t="n">
        <f aca="false">IF(AND(AH165&lt;&gt;-1, G165&lt;&gt;"-", G165&lt;&gt;"."), ((G165-AH165)/G165)*100, -1)</f>
        <v>67.5595357142857</v>
      </c>
      <c r="AN165" s="5" t="n">
        <f aca="false">IF(AND(AO165=C165, A165=AP165), 1, 0)</f>
        <v>1</v>
      </c>
      <c r="AO165" s="5" t="s">
        <v>108</v>
      </c>
      <c r="AP165" s="5" t="n">
        <v>10</v>
      </c>
      <c r="AQ165" s="5" t="n">
        <v>3600</v>
      </c>
      <c r="AR165" s="5" t="n">
        <v>100</v>
      </c>
      <c r="AS165" s="5" t="n">
        <v>2956</v>
      </c>
      <c r="AT165" s="28" t="n">
        <v>3600.03</v>
      </c>
      <c r="AU165" s="28" t="s">
        <v>54</v>
      </c>
      <c r="AV165" s="28" t="n">
        <v>90.4138</v>
      </c>
      <c r="AW165" s="28" t="n">
        <v>63</v>
      </c>
      <c r="AX165" s="28" t="n">
        <v>37</v>
      </c>
      <c r="AY165" s="28" t="n">
        <v>858</v>
      </c>
      <c r="AZ165" s="28" t="n">
        <v>25613</v>
      </c>
      <c r="BA165" s="28" t="n">
        <v>710</v>
      </c>
      <c r="BB165" s="6" t="n">
        <f aca="false">IF(AU165="Optimal", 1, 0)</f>
        <v>0</v>
      </c>
    </row>
    <row r="166" customFormat="false" ht="12.8" hidden="false" customHeight="false" outlineLevel="0" collapsed="false">
      <c r="A166" s="1" t="n">
        <v>10</v>
      </c>
      <c r="B166" s="23" t="s">
        <v>67</v>
      </c>
      <c r="C166" s="24" t="s">
        <v>109</v>
      </c>
      <c r="D166" s="32" t="n">
        <v>100</v>
      </c>
      <c r="E166" s="32" t="n">
        <v>3039</v>
      </c>
      <c r="F166" s="32" t="n">
        <v>12</v>
      </c>
      <c r="G166" s="25" t="n">
        <v>41</v>
      </c>
      <c r="H166" s="26" t="n">
        <v>1</v>
      </c>
      <c r="I166" s="25" t="n">
        <v>7.49</v>
      </c>
      <c r="J166" s="26" t="n">
        <f aca="false">IF(I166="tl", 0, 1)</f>
        <v>1</v>
      </c>
      <c r="K166" s="25" t="s">
        <v>53</v>
      </c>
      <c r="L166" s="26" t="n">
        <f aca="false">IF(K166="tl", 0, 1)</f>
        <v>0</v>
      </c>
      <c r="M166" s="25" t="n">
        <v>225.32</v>
      </c>
      <c r="N166" s="26" t="n">
        <f aca="false">IF(M166="tl", 0, 1)</f>
        <v>1</v>
      </c>
      <c r="O166" s="26"/>
      <c r="P166" s="23" t="n">
        <v>0</v>
      </c>
      <c r="Q166" s="23"/>
      <c r="R166" s="2" t="n">
        <f aca="false">IF(S166=C166, 1, 0)</f>
        <v>1</v>
      </c>
      <c r="S166" s="27" t="s">
        <v>109</v>
      </c>
      <c r="T166" s="27" t="n">
        <v>100</v>
      </c>
      <c r="U166" s="27" t="n">
        <v>3039</v>
      </c>
      <c r="V166" s="3" t="s">
        <v>54</v>
      </c>
      <c r="W166" s="30" t="n">
        <v>89</v>
      </c>
      <c r="X166" s="30" t="n">
        <v>8.63265</v>
      </c>
      <c r="Y166" s="3" t="n">
        <v>1800</v>
      </c>
      <c r="Z166" s="3" t="n">
        <v>123.744</v>
      </c>
      <c r="AA166" s="3" t="n">
        <v>5221</v>
      </c>
      <c r="AB166" s="3" t="n">
        <v>3</v>
      </c>
      <c r="AC166" s="3" t="n">
        <v>12256</v>
      </c>
      <c r="AD166" s="3" t="n">
        <v>21374</v>
      </c>
      <c r="AE166" s="3" t="n">
        <v>12</v>
      </c>
      <c r="AF166" s="3" t="n">
        <v>0</v>
      </c>
      <c r="AG166" s="3" t="n">
        <v>1</v>
      </c>
      <c r="AH166" s="3" t="n">
        <v>8.63265</v>
      </c>
      <c r="AI166" s="3" t="n">
        <v>89</v>
      </c>
      <c r="AJ166" s="2" t="n">
        <f aca="false">IF(V166="Optimal", 1, 0)</f>
        <v>0</v>
      </c>
      <c r="AK166" s="29" t="b">
        <f aca="false">IF(AJ166=1, W166-G166)</f>
        <v>0</v>
      </c>
      <c r="AL166" s="4" t="n">
        <f aca="false">IF(AND(AH166&lt;&gt;-1, G166&lt;&gt;"-", G166&lt;&gt;"."), ((G166-AH166)/G166)*100, -1)</f>
        <v>78.944756097561</v>
      </c>
      <c r="AN166" s="5" t="n">
        <f aca="false">IF(AND(AO166=C166, A166=AP166), 1, 0)</f>
        <v>1</v>
      </c>
      <c r="AO166" s="5" t="s">
        <v>109</v>
      </c>
      <c r="AP166" s="5" t="n">
        <v>10</v>
      </c>
      <c r="AQ166" s="5" t="n">
        <v>3600</v>
      </c>
      <c r="AR166" s="5" t="n">
        <v>100</v>
      </c>
      <c r="AS166" s="5" t="n">
        <v>3039</v>
      </c>
      <c r="AT166" s="28" t="n">
        <v>3600</v>
      </c>
      <c r="AU166" s="28" t="s">
        <v>54</v>
      </c>
      <c r="AV166" s="28" t="n">
        <v>88.6141</v>
      </c>
      <c r="AW166" s="28" t="n">
        <v>59</v>
      </c>
      <c r="AX166" s="28" t="n">
        <v>41</v>
      </c>
      <c r="AY166" s="28" t="n">
        <v>858</v>
      </c>
      <c r="AZ166" s="28" t="n">
        <v>28883</v>
      </c>
      <c r="BA166" s="28" t="n">
        <v>1848</v>
      </c>
      <c r="BB166" s="6" t="n">
        <f aca="false">IF(AU166="Optimal", 1, 0)</f>
        <v>0</v>
      </c>
    </row>
    <row r="167" customFormat="false" ht="12.8" hidden="false" customHeight="false" outlineLevel="0" collapsed="false">
      <c r="A167" s="1" t="n">
        <v>10</v>
      </c>
      <c r="B167" s="23" t="s">
        <v>67</v>
      </c>
      <c r="C167" s="24" t="s">
        <v>110</v>
      </c>
      <c r="D167" s="32" t="n">
        <v>100</v>
      </c>
      <c r="E167" s="32" t="n">
        <v>2934</v>
      </c>
      <c r="F167" s="32" t="n">
        <v>15</v>
      </c>
      <c r="G167" s="25" t="n">
        <v>12</v>
      </c>
      <c r="H167" s="26" t="n">
        <v>1</v>
      </c>
      <c r="I167" s="25" t="n">
        <v>2.88</v>
      </c>
      <c r="J167" s="26" t="n">
        <f aca="false">IF(I167="tl", 0, 1)</f>
        <v>1</v>
      </c>
      <c r="K167" s="25" t="s">
        <v>53</v>
      </c>
      <c r="L167" s="26" t="n">
        <f aca="false">IF(K167="tl", 0, 1)</f>
        <v>0</v>
      </c>
      <c r="M167" s="25" t="n">
        <v>11.09</v>
      </c>
      <c r="N167" s="26" t="n">
        <f aca="false">IF(M167="tl", 0, 1)</f>
        <v>1</v>
      </c>
      <c r="O167" s="26"/>
      <c r="P167" s="23" t="n">
        <v>0</v>
      </c>
      <c r="Q167" s="23"/>
      <c r="R167" s="2" t="n">
        <f aca="false">IF(S167=C167, 1, 0)</f>
        <v>1</v>
      </c>
      <c r="S167" s="27" t="s">
        <v>110</v>
      </c>
      <c r="T167" s="27" t="n">
        <v>100</v>
      </c>
      <c r="U167" s="27" t="n">
        <v>2934</v>
      </c>
      <c r="V167" s="3" t="s">
        <v>54</v>
      </c>
      <c r="W167" s="30" t="n">
        <v>85</v>
      </c>
      <c r="X167" s="30" t="n">
        <v>8.44898</v>
      </c>
      <c r="Y167" s="3" t="n">
        <v>1800</v>
      </c>
      <c r="Z167" s="3" t="n">
        <v>91.1703</v>
      </c>
      <c r="AA167" s="3" t="n">
        <v>7099</v>
      </c>
      <c r="AB167" s="3" t="n">
        <v>3</v>
      </c>
      <c r="AC167" s="3" t="n">
        <v>11836</v>
      </c>
      <c r="AD167" s="3" t="n">
        <v>20639</v>
      </c>
      <c r="AE167" s="3" t="n">
        <v>13</v>
      </c>
      <c r="AF167" s="3" t="n">
        <v>0</v>
      </c>
      <c r="AG167" s="3" t="n">
        <v>1</v>
      </c>
      <c r="AH167" s="3" t="n">
        <v>8.44898</v>
      </c>
      <c r="AI167" s="3" t="n">
        <v>85</v>
      </c>
      <c r="AJ167" s="2" t="n">
        <f aca="false">IF(V167="Optimal", 1, 0)</f>
        <v>0</v>
      </c>
      <c r="AK167" s="29" t="b">
        <f aca="false">IF(AJ167=1, W167-G167)</f>
        <v>0</v>
      </c>
      <c r="AL167" s="4" t="n">
        <f aca="false">IF(AND(AH167&lt;&gt;-1, G167&lt;&gt;"-", G167&lt;&gt;"."), ((G167-AH167)/G167)*100, -1)</f>
        <v>29.5918333333333</v>
      </c>
      <c r="AN167" s="5" t="n">
        <f aca="false">IF(AND(AO167=C167, A167=AP167), 1, 0)</f>
        <v>1</v>
      </c>
      <c r="AO167" s="5" t="s">
        <v>110</v>
      </c>
      <c r="AP167" s="5" t="n">
        <v>10</v>
      </c>
      <c r="AQ167" s="5" t="n">
        <v>3600</v>
      </c>
      <c r="AR167" s="5" t="n">
        <v>100</v>
      </c>
      <c r="AS167" s="5" t="n">
        <v>2934</v>
      </c>
      <c r="AT167" s="28" t="n">
        <v>1428.66</v>
      </c>
      <c r="AU167" s="28" t="s">
        <v>51</v>
      </c>
      <c r="AV167" s="28" t="n">
        <v>88</v>
      </c>
      <c r="AW167" s="28" t="n">
        <v>88</v>
      </c>
      <c r="AX167" s="28" t="n">
        <v>12</v>
      </c>
      <c r="AY167" s="28" t="n">
        <v>955</v>
      </c>
      <c r="AZ167" s="28" t="n">
        <v>6501</v>
      </c>
      <c r="BA167" s="28" t="n">
        <v>163</v>
      </c>
      <c r="BB167" s="6" t="n">
        <f aca="false">IF(AU167="Optimal", 1, 0)</f>
        <v>1</v>
      </c>
    </row>
    <row r="168" customFormat="false" ht="12.8" hidden="false" customHeight="false" outlineLevel="0" collapsed="false">
      <c r="A168" s="1" t="n">
        <v>10</v>
      </c>
      <c r="B168" s="23" t="s">
        <v>67</v>
      </c>
      <c r="C168" s="24" t="s">
        <v>111</v>
      </c>
      <c r="D168" s="32" t="n">
        <v>120</v>
      </c>
      <c r="E168" s="32" t="n">
        <v>2972</v>
      </c>
      <c r="F168" s="32" t="n">
        <v>36</v>
      </c>
      <c r="G168" s="25" t="n">
        <v>21</v>
      </c>
      <c r="H168" s="26" t="n">
        <v>1</v>
      </c>
      <c r="I168" s="25" t="n">
        <v>9.89</v>
      </c>
      <c r="J168" s="26" t="n">
        <f aca="false">IF(I168="tl", 0, 1)</f>
        <v>1</v>
      </c>
      <c r="K168" s="25" t="s">
        <v>53</v>
      </c>
      <c r="L168" s="26" t="n">
        <f aca="false">IF(K168="tl", 0, 1)</f>
        <v>0</v>
      </c>
      <c r="M168" s="25" t="n">
        <v>501.24</v>
      </c>
      <c r="N168" s="26" t="n">
        <f aca="false">IF(M168="tl", 0, 1)</f>
        <v>1</v>
      </c>
      <c r="O168" s="26"/>
      <c r="P168" s="23" t="n">
        <v>0</v>
      </c>
      <c r="Q168" s="23"/>
      <c r="R168" s="2" t="n">
        <f aca="false">IF(S168=C168, 1, 0)</f>
        <v>1</v>
      </c>
      <c r="S168" s="27" t="s">
        <v>111</v>
      </c>
      <c r="T168" s="27" t="n">
        <v>120</v>
      </c>
      <c r="U168" s="27" t="n">
        <v>2972</v>
      </c>
      <c r="V168" s="3" t="s">
        <v>54</v>
      </c>
      <c r="W168" s="30" t="n">
        <v>100</v>
      </c>
      <c r="X168" s="30" t="n">
        <v>9.15254</v>
      </c>
      <c r="Y168" s="3" t="n">
        <v>1800</v>
      </c>
      <c r="Z168" s="3" t="n">
        <v>72.5705</v>
      </c>
      <c r="AA168" s="3" t="n">
        <v>5557</v>
      </c>
      <c r="AB168" s="3" t="n">
        <v>3</v>
      </c>
      <c r="AC168" s="3" t="n">
        <v>12008</v>
      </c>
      <c r="AD168" s="3" t="n">
        <v>20925</v>
      </c>
      <c r="AE168" s="3" t="n">
        <v>8</v>
      </c>
      <c r="AF168" s="3" t="n">
        <v>0</v>
      </c>
      <c r="AG168" s="3" t="n">
        <v>1</v>
      </c>
      <c r="AH168" s="3" t="n">
        <v>9.15254</v>
      </c>
      <c r="AI168" s="3" t="n">
        <v>100</v>
      </c>
      <c r="AJ168" s="2" t="n">
        <f aca="false">IF(V168="Optimal", 1, 0)</f>
        <v>0</v>
      </c>
      <c r="AK168" s="29" t="b">
        <f aca="false">IF(AJ168=1, W168-G168)</f>
        <v>0</v>
      </c>
      <c r="AL168" s="4" t="n">
        <f aca="false">IF(AND(AH168&lt;&gt;-1, G168&lt;&gt;"-", G168&lt;&gt;"."), ((G168-AH168)/G168)*100, -1)</f>
        <v>56.4164761904762</v>
      </c>
      <c r="AN168" s="5" t="n">
        <f aca="false">IF(AND(AO168=C168, A168=AP168), 1, 0)</f>
        <v>1</v>
      </c>
      <c r="AO168" s="5" t="s">
        <v>111</v>
      </c>
      <c r="AP168" s="5" t="n">
        <v>10</v>
      </c>
      <c r="AQ168" s="5" t="n">
        <v>3600</v>
      </c>
      <c r="AR168" s="5" t="n">
        <v>120</v>
      </c>
      <c r="AS168" s="5" t="n">
        <v>2972</v>
      </c>
      <c r="AT168" s="28" t="n">
        <v>3600</v>
      </c>
      <c r="AU168" s="28" t="s">
        <v>54</v>
      </c>
      <c r="AV168" s="28" t="n">
        <v>113.858</v>
      </c>
      <c r="AW168" s="28" t="n">
        <v>99</v>
      </c>
      <c r="AX168" s="28" t="n">
        <v>21</v>
      </c>
      <c r="AY168" s="28" t="n">
        <v>1200</v>
      </c>
      <c r="AZ168" s="28" t="n">
        <v>30362</v>
      </c>
      <c r="BA168" s="28" t="n">
        <v>1783</v>
      </c>
      <c r="BB168" s="6" t="n">
        <f aca="false">IF(AU168="Optimal", 1, 0)</f>
        <v>0</v>
      </c>
    </row>
    <row r="169" customFormat="false" ht="12.8" hidden="false" customHeight="false" outlineLevel="0" collapsed="false">
      <c r="A169" s="1" t="n">
        <v>10</v>
      </c>
      <c r="B169" s="23" t="s">
        <v>67</v>
      </c>
      <c r="C169" s="24" t="s">
        <v>116</v>
      </c>
      <c r="D169" s="32" t="n">
        <v>120</v>
      </c>
      <c r="E169" s="32" t="n">
        <v>3387</v>
      </c>
      <c r="F169" s="32" t="n">
        <v>23</v>
      </c>
      <c r="G169" s="25" t="n">
        <v>8</v>
      </c>
      <c r="H169" s="26" t="n">
        <v>1</v>
      </c>
      <c r="I169" s="25" t="n">
        <v>0.5</v>
      </c>
      <c r="J169" s="26" t="n">
        <f aca="false">IF(I169="tl", 0, 1)</f>
        <v>1</v>
      </c>
      <c r="K169" s="25" t="n">
        <v>1.88</v>
      </c>
      <c r="L169" s="26" t="n">
        <f aca="false">IF(K169="tl", 0, 1)</f>
        <v>1</v>
      </c>
      <c r="M169" s="25" t="n">
        <v>0.95</v>
      </c>
      <c r="N169" s="26" t="n">
        <f aca="false">IF(M169="tl", 0, 1)</f>
        <v>1</v>
      </c>
      <c r="O169" s="26"/>
      <c r="P169" s="23" t="n">
        <v>0</v>
      </c>
      <c r="Q169" s="23"/>
      <c r="R169" s="2" t="n">
        <f aca="false">IF(S169=C169, 1, 0)</f>
        <v>1</v>
      </c>
      <c r="S169" s="27" t="s">
        <v>116</v>
      </c>
      <c r="T169" s="27" t="n">
        <v>120</v>
      </c>
      <c r="U169" s="27" t="n">
        <v>3387</v>
      </c>
      <c r="V169" s="3" t="s">
        <v>54</v>
      </c>
      <c r="W169" s="30" t="n">
        <v>93</v>
      </c>
      <c r="X169" s="30" t="n">
        <v>8</v>
      </c>
      <c r="Y169" s="3" t="n">
        <v>1800</v>
      </c>
      <c r="Z169" s="3" t="n">
        <v>96.2788</v>
      </c>
      <c r="AA169" s="3" t="n">
        <v>5477</v>
      </c>
      <c r="AB169" s="3" t="n">
        <v>4</v>
      </c>
      <c r="AC169" s="3" t="n">
        <v>13668</v>
      </c>
      <c r="AD169" s="3" t="n">
        <v>23830</v>
      </c>
      <c r="AE169" s="3" t="n">
        <v>18</v>
      </c>
      <c r="AF169" s="3" t="n">
        <v>0</v>
      </c>
      <c r="AG169" s="3" t="n">
        <v>2</v>
      </c>
      <c r="AH169" s="3" t="n">
        <v>7.32456</v>
      </c>
      <c r="AI169" s="3" t="n">
        <v>93</v>
      </c>
      <c r="AJ169" s="2" t="n">
        <f aca="false">IF(V169="Optimal", 1, 0)</f>
        <v>0</v>
      </c>
      <c r="AK169" s="29" t="b">
        <f aca="false">IF(AJ169=1, W169-G169)</f>
        <v>0</v>
      </c>
      <c r="AL169" s="4" t="n">
        <f aca="false">IF(AND(AH169&lt;&gt;-1, G169&lt;&gt;"-", G169&lt;&gt;"."), ((G169-AH169)/G169)*100, -1)</f>
        <v>8.443</v>
      </c>
      <c r="AN169" s="5" t="n">
        <f aca="false">IF(AND(AO169=C169, A169=AP169), 1, 0)</f>
        <v>1</v>
      </c>
      <c r="AO169" s="5" t="s">
        <v>116</v>
      </c>
      <c r="AP169" s="5" t="n">
        <v>10</v>
      </c>
      <c r="AQ169" s="5" t="n">
        <v>3600</v>
      </c>
      <c r="AR169" s="5" t="n">
        <v>120</v>
      </c>
      <c r="AS169" s="5" t="n">
        <v>3387</v>
      </c>
      <c r="AT169" s="28" t="n">
        <v>1648.73</v>
      </c>
      <c r="AU169" s="28" t="s">
        <v>51</v>
      </c>
      <c r="AV169" s="28" t="n">
        <v>112</v>
      </c>
      <c r="AW169" s="28" t="n">
        <v>112</v>
      </c>
      <c r="AX169" s="28" t="n">
        <v>8</v>
      </c>
      <c r="AY169" s="28" t="n">
        <v>1155</v>
      </c>
      <c r="AZ169" s="28" t="n">
        <v>32379</v>
      </c>
      <c r="BA169" s="28" t="n">
        <v>161</v>
      </c>
      <c r="BB169" s="6" t="n">
        <f aca="false">IF(AU169="Optimal", 1, 0)</f>
        <v>1</v>
      </c>
    </row>
    <row r="170" customFormat="false" ht="12.8" hidden="false" customHeight="false" outlineLevel="0" collapsed="false">
      <c r="A170" s="1" t="n">
        <v>10</v>
      </c>
      <c r="B170" s="23" t="s">
        <v>67</v>
      </c>
      <c r="C170" s="24" t="s">
        <v>117</v>
      </c>
      <c r="D170" s="32" t="n">
        <v>125</v>
      </c>
      <c r="E170" s="32" t="n">
        <v>390</v>
      </c>
      <c r="F170" s="32" t="n">
        <v>37</v>
      </c>
      <c r="G170" s="25" t="s">
        <v>77</v>
      </c>
      <c r="H170" s="3" t="n">
        <v>0</v>
      </c>
      <c r="I170" s="25" t="s">
        <v>53</v>
      </c>
      <c r="J170" s="26" t="n">
        <f aca="false">IF(I170="tl", 0, 1)</f>
        <v>0</v>
      </c>
      <c r="K170" s="25" t="s">
        <v>53</v>
      </c>
      <c r="L170" s="26" t="n">
        <f aca="false">IF(K170="tl", 0, 1)</f>
        <v>0</v>
      </c>
      <c r="M170" s="25" t="s">
        <v>53</v>
      </c>
      <c r="N170" s="26" t="n">
        <f aca="false">IF(M170="tl", 0, 1)</f>
        <v>0</v>
      </c>
      <c r="O170" s="26"/>
      <c r="P170" s="23" t="n">
        <v>0</v>
      </c>
      <c r="Q170" s="23"/>
      <c r="R170" s="2" t="n">
        <f aca="false">IF(S170=C170, 1, 0)</f>
        <v>1</v>
      </c>
      <c r="S170" s="27" t="s">
        <v>117</v>
      </c>
      <c r="T170" s="27" t="n">
        <v>125</v>
      </c>
      <c r="U170" s="27" t="n">
        <v>390</v>
      </c>
      <c r="V170" s="3" t="s">
        <v>54</v>
      </c>
      <c r="W170" s="3" t="n">
        <v>22</v>
      </c>
      <c r="X170" s="3" t="n">
        <v>10.7168</v>
      </c>
      <c r="Y170" s="3" t="n">
        <v>1800.01</v>
      </c>
      <c r="Z170" s="3" t="n">
        <v>1403.66</v>
      </c>
      <c r="AA170" s="3" t="n">
        <v>11442</v>
      </c>
      <c r="AB170" s="3" t="n">
        <v>190</v>
      </c>
      <c r="AC170" s="3" t="n">
        <v>1685</v>
      </c>
      <c r="AD170" s="3" t="n">
        <v>2856</v>
      </c>
      <c r="AE170" s="3" t="n">
        <v>67</v>
      </c>
      <c r="AF170" s="3" t="n">
        <v>0</v>
      </c>
      <c r="AG170" s="3" t="n">
        <v>22</v>
      </c>
      <c r="AH170" s="3" t="n">
        <v>9.14634</v>
      </c>
      <c r="AI170" s="3" t="n">
        <v>65</v>
      </c>
      <c r="AJ170" s="2" t="n">
        <f aca="false">IF(V170="Optimal", 1, 0)</f>
        <v>0</v>
      </c>
      <c r="AK170" s="29" t="b">
        <f aca="false">IF(AJ170=1, W170-G170)</f>
        <v>0</v>
      </c>
      <c r="AL170" s="4" t="n">
        <f aca="false">IF(AND(AH170&lt;&gt;-1, G170&lt;&gt;"-", G170&lt;&gt;"."), ((G170-AH170)/G170)*100, -1)</f>
        <v>-1</v>
      </c>
      <c r="AN170" s="5" t="n">
        <f aca="false">IF(AND(AO170=C170, A170=AP170), 1, 0)</f>
        <v>1</v>
      </c>
      <c r="AO170" s="5" t="s">
        <v>117</v>
      </c>
      <c r="AP170" s="5" t="n">
        <v>10</v>
      </c>
      <c r="AQ170" s="5" t="n">
        <v>3600</v>
      </c>
      <c r="AR170" s="5" t="n">
        <v>125</v>
      </c>
      <c r="AS170" s="5" t="n">
        <v>390</v>
      </c>
      <c r="AT170" s="28" t="n">
        <v>3600</v>
      </c>
      <c r="AU170" s="28" t="s">
        <v>54</v>
      </c>
      <c r="AV170" s="28" t="n">
        <v>121.519</v>
      </c>
      <c r="AW170" s="28" t="n">
        <v>104</v>
      </c>
      <c r="AX170" s="28" t="n">
        <v>21</v>
      </c>
      <c r="AY170" s="28" t="n">
        <v>1136</v>
      </c>
      <c r="AZ170" s="28" t="n">
        <v>3969</v>
      </c>
      <c r="BA170" s="28" t="n">
        <v>5530</v>
      </c>
      <c r="BB170" s="6" t="n">
        <f aca="false">IF(AU170="Optimal", 1, 0)</f>
        <v>0</v>
      </c>
    </row>
    <row r="171" customFormat="false" ht="12.8" hidden="false" customHeight="false" outlineLevel="0" collapsed="false">
      <c r="A171" s="1" t="n">
        <v>10</v>
      </c>
      <c r="B171" s="23" t="s">
        <v>67</v>
      </c>
      <c r="C171" s="24" t="s">
        <v>119</v>
      </c>
      <c r="D171" s="32" t="n">
        <v>125</v>
      </c>
      <c r="E171" s="32" t="n">
        <v>1257</v>
      </c>
      <c r="F171" s="32" t="n">
        <v>15</v>
      </c>
      <c r="G171" s="25" t="s">
        <v>77</v>
      </c>
      <c r="H171" s="3" t="n">
        <v>0</v>
      </c>
      <c r="I171" s="25" t="s">
        <v>53</v>
      </c>
      <c r="J171" s="26" t="n">
        <f aca="false">IF(I171="tl", 0, 1)</f>
        <v>0</v>
      </c>
      <c r="K171" s="25" t="s">
        <v>53</v>
      </c>
      <c r="L171" s="26" t="n">
        <f aca="false">IF(K171="tl", 0, 1)</f>
        <v>0</v>
      </c>
      <c r="M171" s="25" t="s">
        <v>53</v>
      </c>
      <c r="N171" s="26" t="n">
        <f aca="false">IF(M171="tl", 0, 1)</f>
        <v>0</v>
      </c>
      <c r="O171" s="26"/>
      <c r="P171" s="23" t="n">
        <v>0</v>
      </c>
      <c r="Q171" s="23"/>
      <c r="R171" s="2" t="n">
        <f aca="false">IF(S171=C171, 1, 0)</f>
        <v>1</v>
      </c>
      <c r="S171" s="27" t="s">
        <v>119</v>
      </c>
      <c r="T171" s="27" t="n">
        <v>125</v>
      </c>
      <c r="U171" s="27" t="n">
        <v>1257</v>
      </c>
      <c r="V171" s="3" t="s">
        <v>54</v>
      </c>
      <c r="W171" s="30" t="n">
        <v>109</v>
      </c>
      <c r="X171" s="3" t="n">
        <v>10.98</v>
      </c>
      <c r="Y171" s="3" t="n">
        <v>1800.09</v>
      </c>
      <c r="Z171" s="3" t="n">
        <v>897.75</v>
      </c>
      <c r="AA171" s="3" t="n">
        <v>11965</v>
      </c>
      <c r="AB171" s="3" t="n">
        <v>6</v>
      </c>
      <c r="AC171" s="3" t="n">
        <v>5153</v>
      </c>
      <c r="AD171" s="3" t="n">
        <v>8925</v>
      </c>
      <c r="AE171" s="3" t="n">
        <v>8</v>
      </c>
      <c r="AF171" s="3" t="n">
        <v>0</v>
      </c>
      <c r="AG171" s="3" t="n">
        <v>3</v>
      </c>
      <c r="AH171" s="3" t="n">
        <v>9.14634</v>
      </c>
      <c r="AI171" s="3" t="n">
        <v>109</v>
      </c>
      <c r="AJ171" s="2" t="n">
        <f aca="false">IF(V171="Optimal", 1, 0)</f>
        <v>0</v>
      </c>
      <c r="AK171" s="29" t="b">
        <f aca="false">IF(AJ171=1, W171-G171)</f>
        <v>0</v>
      </c>
      <c r="AL171" s="4" t="n">
        <f aca="false">IF(AND(AH171&lt;&gt;-1, G171&lt;&gt;"-", G171&lt;&gt;"."), ((G171-AH171)/G171)*100, -1)</f>
        <v>-1</v>
      </c>
      <c r="AN171" s="5" t="n">
        <f aca="false">IF(AND(AO171=C171, A171=AP171), 1, 0)</f>
        <v>1</v>
      </c>
      <c r="AO171" s="5" t="s">
        <v>119</v>
      </c>
      <c r="AP171" s="5" t="n">
        <v>10</v>
      </c>
      <c r="AQ171" s="5" t="n">
        <v>3600</v>
      </c>
      <c r="AR171" s="5" t="n">
        <v>125</v>
      </c>
      <c r="AS171" s="5" t="n">
        <v>1257</v>
      </c>
      <c r="AT171" s="28" t="n">
        <v>3600</v>
      </c>
      <c r="AU171" s="28" t="s">
        <v>54</v>
      </c>
      <c r="AV171" s="28" t="n">
        <v>116.802</v>
      </c>
      <c r="AW171" s="28" t="n">
        <v>51</v>
      </c>
      <c r="AX171" s="28" t="n">
        <v>74</v>
      </c>
      <c r="AY171" s="28" t="n">
        <v>1104</v>
      </c>
      <c r="AZ171" s="28" t="n">
        <v>11136</v>
      </c>
      <c r="BA171" s="28" t="n">
        <v>1</v>
      </c>
      <c r="BB171" s="6" t="n">
        <f aca="false">IF(AU171="Optimal", 1, 0)</f>
        <v>0</v>
      </c>
    </row>
    <row r="172" customFormat="false" ht="12.8" hidden="false" customHeight="false" outlineLevel="0" collapsed="false">
      <c r="A172" s="1" t="n">
        <v>10</v>
      </c>
      <c r="B172" s="23" t="s">
        <v>67</v>
      </c>
      <c r="C172" s="24" t="s">
        <v>120</v>
      </c>
      <c r="D172" s="32" t="n">
        <v>125</v>
      </c>
      <c r="E172" s="32" t="n">
        <v>1022</v>
      </c>
      <c r="F172" s="32" t="n">
        <v>20</v>
      </c>
      <c r="G172" s="25" t="s">
        <v>77</v>
      </c>
      <c r="H172" s="3" t="n">
        <v>0</v>
      </c>
      <c r="I172" s="25" t="s">
        <v>53</v>
      </c>
      <c r="J172" s="26" t="n">
        <f aca="false">IF(I172="tl", 0, 1)</f>
        <v>0</v>
      </c>
      <c r="K172" s="25" t="s">
        <v>53</v>
      </c>
      <c r="L172" s="26" t="n">
        <f aca="false">IF(K172="tl", 0, 1)</f>
        <v>0</v>
      </c>
      <c r="M172" s="25" t="s">
        <v>53</v>
      </c>
      <c r="N172" s="26" t="n">
        <f aca="false">IF(M172="tl", 0, 1)</f>
        <v>0</v>
      </c>
      <c r="O172" s="26"/>
      <c r="P172" s="23" t="n">
        <v>0</v>
      </c>
      <c r="Q172" s="23"/>
      <c r="R172" s="2" t="n">
        <f aca="false">IF(S172=C172, 1, 0)</f>
        <v>1</v>
      </c>
      <c r="S172" s="27" t="s">
        <v>120</v>
      </c>
      <c r="T172" s="27" t="n">
        <v>125</v>
      </c>
      <c r="U172" s="27" t="n">
        <v>1022</v>
      </c>
      <c r="V172" s="3" t="s">
        <v>54</v>
      </c>
      <c r="W172" s="30" t="n">
        <v>102</v>
      </c>
      <c r="X172" s="30" t="n">
        <v>9.14634</v>
      </c>
      <c r="Y172" s="3" t="n">
        <v>1800</v>
      </c>
      <c r="Z172" s="3" t="n">
        <v>748.147</v>
      </c>
      <c r="AA172" s="3" t="n">
        <v>11785</v>
      </c>
      <c r="AB172" s="3" t="n">
        <v>3</v>
      </c>
      <c r="AC172" s="3" t="n">
        <v>4213</v>
      </c>
      <c r="AD172" s="3" t="n">
        <v>7280</v>
      </c>
      <c r="AE172" s="3" t="n">
        <v>40</v>
      </c>
      <c r="AF172" s="3" t="n">
        <v>0</v>
      </c>
      <c r="AG172" s="3" t="n">
        <v>1</v>
      </c>
      <c r="AH172" s="3" t="n">
        <v>9.14634</v>
      </c>
      <c r="AI172" s="3" t="n">
        <v>102</v>
      </c>
      <c r="AJ172" s="2" t="n">
        <f aca="false">IF(V172="Optimal", 1, 0)</f>
        <v>0</v>
      </c>
      <c r="AK172" s="29" t="b">
        <f aca="false">IF(AJ172=1, W172-G172)</f>
        <v>0</v>
      </c>
      <c r="AL172" s="4" t="n">
        <f aca="false">IF(AND(AH172&lt;&gt;-1, G172&lt;&gt;"-", G172&lt;&gt;"."), ((G172-AH172)/G172)*100, -1)</f>
        <v>-1</v>
      </c>
      <c r="AN172" s="5" t="n">
        <f aca="false">IF(AND(AO172=C172, A172=AP172), 1, 0)</f>
        <v>1</v>
      </c>
      <c r="AO172" s="5" t="s">
        <v>120</v>
      </c>
      <c r="AP172" s="5" t="n">
        <v>10</v>
      </c>
      <c r="AQ172" s="5" t="n">
        <v>3600</v>
      </c>
      <c r="AR172" s="5" t="n">
        <v>125</v>
      </c>
      <c r="AS172" s="5" t="n">
        <v>1022</v>
      </c>
      <c r="AT172" s="28" t="n">
        <v>3600</v>
      </c>
      <c r="AU172" s="28" t="s">
        <v>54</v>
      </c>
      <c r="AV172" s="28" t="n">
        <v>119.895</v>
      </c>
      <c r="AW172" s="28" t="n">
        <v>69</v>
      </c>
      <c r="AX172" s="28" t="n">
        <v>56</v>
      </c>
      <c r="AY172" s="28" t="n">
        <v>1125</v>
      </c>
      <c r="AZ172" s="28" t="n">
        <v>9936</v>
      </c>
      <c r="BA172" s="28" t="n">
        <v>186</v>
      </c>
      <c r="BB172" s="6" t="n">
        <f aca="false">IF(AU172="Optimal", 1, 0)</f>
        <v>0</v>
      </c>
    </row>
    <row r="173" customFormat="false" ht="12.8" hidden="false" customHeight="false" outlineLevel="0" collapsed="false">
      <c r="A173" s="1" t="n">
        <v>10</v>
      </c>
      <c r="B173" s="23" t="s">
        <v>67</v>
      </c>
      <c r="C173" s="24" t="s">
        <v>121</v>
      </c>
      <c r="D173" s="32" t="n">
        <v>125</v>
      </c>
      <c r="E173" s="32" t="n">
        <v>943</v>
      </c>
      <c r="F173" s="32" t="n">
        <v>16</v>
      </c>
      <c r="G173" s="25" t="s">
        <v>77</v>
      </c>
      <c r="H173" s="3" t="n">
        <v>0</v>
      </c>
      <c r="I173" s="25" t="s">
        <v>53</v>
      </c>
      <c r="J173" s="26" t="n">
        <f aca="false">IF(I173="tl", 0, 1)</f>
        <v>0</v>
      </c>
      <c r="K173" s="25" t="s">
        <v>53</v>
      </c>
      <c r="L173" s="26" t="n">
        <f aca="false">IF(K173="tl", 0, 1)</f>
        <v>0</v>
      </c>
      <c r="M173" s="25" t="s">
        <v>53</v>
      </c>
      <c r="N173" s="26" t="n">
        <f aca="false">IF(M173="tl", 0, 1)</f>
        <v>0</v>
      </c>
      <c r="O173" s="26"/>
      <c r="P173" s="23" t="n">
        <v>0</v>
      </c>
      <c r="Q173" s="23"/>
      <c r="R173" s="2" t="n">
        <f aca="false">IF(S173=C173, 1, 0)</f>
        <v>1</v>
      </c>
      <c r="S173" s="27" t="s">
        <v>121</v>
      </c>
      <c r="T173" s="27" t="n">
        <v>125</v>
      </c>
      <c r="U173" s="27" t="n">
        <v>943</v>
      </c>
      <c r="V173" s="3" t="s">
        <v>54</v>
      </c>
      <c r="W173" s="3" t="n">
        <v>106</v>
      </c>
      <c r="X173" s="3" t="n">
        <v>9.14634</v>
      </c>
      <c r="Y173" s="3" t="n">
        <v>1800</v>
      </c>
      <c r="Z173" s="3" t="n">
        <v>113.532</v>
      </c>
      <c r="AA173" s="3" t="n">
        <v>9387</v>
      </c>
      <c r="AB173" s="3" t="n">
        <v>3</v>
      </c>
      <c r="AC173" s="3" t="n">
        <v>3897</v>
      </c>
      <c r="AD173" s="3" t="n">
        <v>6727</v>
      </c>
      <c r="AE173" s="3" t="n">
        <v>27</v>
      </c>
      <c r="AF173" s="3" t="n">
        <v>0</v>
      </c>
      <c r="AG173" s="3" t="n">
        <v>1</v>
      </c>
      <c r="AH173" s="3" t="n">
        <v>9.14634</v>
      </c>
      <c r="AI173" s="3" t="n">
        <v>106</v>
      </c>
      <c r="AJ173" s="2" t="n">
        <f aca="false">IF(V173="Optimal", 1, 0)</f>
        <v>0</v>
      </c>
      <c r="AK173" s="29" t="b">
        <f aca="false">IF(AJ173=1, W173-G173)</f>
        <v>0</v>
      </c>
      <c r="AL173" s="4" t="n">
        <f aca="false">IF(AND(AH173&lt;&gt;-1, G173&lt;&gt;"-", G173&lt;&gt;"."), ((G173-AH173)/G173)*100, -1)</f>
        <v>-1</v>
      </c>
      <c r="AN173" s="5" t="n">
        <f aca="false">IF(AND(AO173=C173, A173=AP173), 1, 0)</f>
        <v>1</v>
      </c>
      <c r="AO173" s="5" t="s">
        <v>121</v>
      </c>
      <c r="AP173" s="5" t="n">
        <v>10</v>
      </c>
      <c r="AQ173" s="5" t="n">
        <v>3600</v>
      </c>
      <c r="AR173" s="5" t="n">
        <v>125</v>
      </c>
      <c r="AS173" s="5" t="n">
        <v>943</v>
      </c>
      <c r="AT173" s="28" t="n">
        <v>3600</v>
      </c>
      <c r="AU173" s="28" t="s">
        <v>54</v>
      </c>
      <c r="AV173" s="28" t="n">
        <v>121.264</v>
      </c>
      <c r="AW173" s="28" t="n">
        <v>67</v>
      </c>
      <c r="AX173" s="28" t="n">
        <v>58</v>
      </c>
      <c r="AY173" s="28" t="n">
        <v>1132</v>
      </c>
      <c r="AZ173" s="28" t="n">
        <v>11036</v>
      </c>
      <c r="BA173" s="28" t="n">
        <v>2657</v>
      </c>
      <c r="BB173" s="6" t="n">
        <f aca="false">IF(AU173="Optimal", 1, 0)</f>
        <v>0</v>
      </c>
    </row>
    <row r="174" customFormat="false" ht="12.8" hidden="false" customHeight="false" outlineLevel="0" collapsed="false">
      <c r="A174" s="1" t="n">
        <v>10</v>
      </c>
      <c r="B174" s="23" t="s">
        <v>67</v>
      </c>
      <c r="C174" s="24" t="s">
        <v>124</v>
      </c>
      <c r="D174" s="32" t="n">
        <v>125</v>
      </c>
      <c r="E174" s="32" t="n">
        <v>1177</v>
      </c>
      <c r="F174" s="32" t="n">
        <v>19</v>
      </c>
      <c r="G174" s="25" t="s">
        <v>77</v>
      </c>
      <c r="H174" s="3" t="n">
        <v>0</v>
      </c>
      <c r="I174" s="25" t="s">
        <v>53</v>
      </c>
      <c r="J174" s="26" t="n">
        <f aca="false">IF(I174="tl", 0, 1)</f>
        <v>0</v>
      </c>
      <c r="K174" s="25" t="s">
        <v>53</v>
      </c>
      <c r="L174" s="26" t="n">
        <f aca="false">IF(K174="tl", 0, 1)</f>
        <v>0</v>
      </c>
      <c r="M174" s="25" t="s">
        <v>53</v>
      </c>
      <c r="N174" s="26" t="n">
        <f aca="false">IF(M174="tl", 0, 1)</f>
        <v>0</v>
      </c>
      <c r="O174" s="26"/>
      <c r="P174" s="23" t="n">
        <v>0</v>
      </c>
      <c r="Q174" s="23"/>
      <c r="R174" s="2" t="n">
        <f aca="false">IF(S174=C174, 1, 0)</f>
        <v>1</v>
      </c>
      <c r="S174" s="27" t="s">
        <v>124</v>
      </c>
      <c r="T174" s="27" t="n">
        <v>125</v>
      </c>
      <c r="U174" s="27" t="n">
        <v>1177</v>
      </c>
      <c r="V174" s="3" t="s">
        <v>54</v>
      </c>
      <c r="W174" s="3" t="n">
        <v>107</v>
      </c>
      <c r="X174" s="3" t="n">
        <v>11.8723</v>
      </c>
      <c r="Y174" s="3" t="n">
        <v>1800.05</v>
      </c>
      <c r="Z174" s="3" t="n">
        <v>448.891</v>
      </c>
      <c r="AA174" s="3" t="n">
        <v>9979</v>
      </c>
      <c r="AB174" s="3" t="n">
        <v>11</v>
      </c>
      <c r="AC174" s="3" t="n">
        <v>4833</v>
      </c>
      <c r="AD174" s="3" t="n">
        <v>8365</v>
      </c>
      <c r="AE174" s="3" t="n">
        <v>5</v>
      </c>
      <c r="AF174" s="3" t="n">
        <v>0</v>
      </c>
      <c r="AG174" s="3" t="n">
        <v>5</v>
      </c>
      <c r="AH174" s="3" t="n">
        <v>9.14634</v>
      </c>
      <c r="AI174" s="3" t="n">
        <v>107</v>
      </c>
      <c r="AJ174" s="2" t="n">
        <f aca="false">IF(V174="Optimal", 1, 0)</f>
        <v>0</v>
      </c>
      <c r="AK174" s="29" t="b">
        <f aca="false">IF(AJ174=1, W174-G174)</f>
        <v>0</v>
      </c>
      <c r="AL174" s="4" t="n">
        <f aca="false">IF(AND(AH174&lt;&gt;-1, G174&lt;&gt;"-", G174&lt;&gt;"."), ((G174-AH174)/G174)*100, -1)</f>
        <v>-1</v>
      </c>
      <c r="AN174" s="5" t="n">
        <f aca="false">IF(AND(AO174=C174, A174=AP174), 1, 0)</f>
        <v>1</v>
      </c>
      <c r="AO174" s="5" t="s">
        <v>124</v>
      </c>
      <c r="AP174" s="5" t="n">
        <v>10</v>
      </c>
      <c r="AQ174" s="5" t="n">
        <v>3600</v>
      </c>
      <c r="AR174" s="5" t="n">
        <v>125</v>
      </c>
      <c r="AS174" s="5" t="n">
        <v>1177</v>
      </c>
      <c r="AT174" s="28" t="n">
        <v>3600</v>
      </c>
      <c r="AU174" s="28" t="s">
        <v>54</v>
      </c>
      <c r="AV174" s="28" t="n">
        <v>117.309</v>
      </c>
      <c r="AW174" s="28" t="n">
        <v>52</v>
      </c>
      <c r="AX174" s="28" t="n">
        <v>73</v>
      </c>
      <c r="AY174" s="28" t="n">
        <v>1045</v>
      </c>
      <c r="AZ174" s="28" t="n">
        <v>10462</v>
      </c>
      <c r="BA174" s="28" t="n">
        <v>2692</v>
      </c>
      <c r="BB174" s="6" t="n">
        <f aca="false">IF(AU174="Optimal", 1, 0)</f>
        <v>0</v>
      </c>
    </row>
    <row r="175" customFormat="false" ht="12.8" hidden="false" customHeight="false" outlineLevel="0" collapsed="false">
      <c r="A175" s="1" t="n">
        <v>10</v>
      </c>
      <c r="B175" s="23" t="s">
        <v>67</v>
      </c>
      <c r="C175" s="24" t="s">
        <v>125</v>
      </c>
      <c r="D175" s="32" t="n">
        <v>125</v>
      </c>
      <c r="E175" s="32" t="n">
        <v>1218</v>
      </c>
      <c r="F175" s="32" t="n">
        <v>17</v>
      </c>
      <c r="G175" s="25" t="s">
        <v>77</v>
      </c>
      <c r="H175" s="3" t="n">
        <v>0</v>
      </c>
      <c r="I175" s="25" t="s">
        <v>53</v>
      </c>
      <c r="J175" s="26" t="n">
        <f aca="false">IF(I175="tl", 0, 1)</f>
        <v>0</v>
      </c>
      <c r="K175" s="25" t="s">
        <v>53</v>
      </c>
      <c r="L175" s="26" t="n">
        <f aca="false">IF(K175="tl", 0, 1)</f>
        <v>0</v>
      </c>
      <c r="M175" s="25" t="s">
        <v>53</v>
      </c>
      <c r="N175" s="26" t="n">
        <f aca="false">IF(M175="tl", 0, 1)</f>
        <v>0</v>
      </c>
      <c r="O175" s="26"/>
      <c r="P175" s="23" t="n">
        <v>0</v>
      </c>
      <c r="Q175" s="23"/>
      <c r="R175" s="2" t="n">
        <f aca="false">IF(S175=C175, 1, 0)</f>
        <v>1</v>
      </c>
      <c r="S175" s="27" t="s">
        <v>125</v>
      </c>
      <c r="T175" s="27" t="n">
        <v>125</v>
      </c>
      <c r="U175" s="27" t="n">
        <v>1218</v>
      </c>
      <c r="V175" s="3" t="s">
        <v>54</v>
      </c>
      <c r="W175" s="3" t="n">
        <v>108</v>
      </c>
      <c r="X175" s="3" t="n">
        <v>10.1475</v>
      </c>
      <c r="Y175" s="3" t="n">
        <v>1800.05</v>
      </c>
      <c r="Z175" s="3" t="n">
        <v>658.869</v>
      </c>
      <c r="AA175" s="3" t="n">
        <v>7310</v>
      </c>
      <c r="AB175" s="3" t="n">
        <v>4</v>
      </c>
      <c r="AC175" s="3" t="n">
        <v>4997</v>
      </c>
      <c r="AD175" s="3" t="n">
        <v>8652</v>
      </c>
      <c r="AE175" s="3" t="n">
        <v>14</v>
      </c>
      <c r="AF175" s="3" t="n">
        <v>0</v>
      </c>
      <c r="AG175" s="3" t="n">
        <v>2</v>
      </c>
      <c r="AH175" s="3" t="n">
        <v>9.14634</v>
      </c>
      <c r="AI175" s="3" t="n">
        <v>108</v>
      </c>
      <c r="AJ175" s="2" t="n">
        <f aca="false">IF(V175="Optimal", 1, 0)</f>
        <v>0</v>
      </c>
      <c r="AK175" s="29" t="b">
        <f aca="false">IF(AJ175=1, W175-G175)</f>
        <v>0</v>
      </c>
      <c r="AL175" s="4" t="n">
        <f aca="false">IF(AND(AH175&lt;&gt;-1, G175&lt;&gt;"-", G175&lt;&gt;"."), ((G175-AH175)/G175)*100, -1)</f>
        <v>-1</v>
      </c>
      <c r="AN175" s="5" t="n">
        <f aca="false">IF(AND(AO175=C175, A175=AP175), 1, 0)</f>
        <v>1</v>
      </c>
      <c r="AO175" s="5" t="s">
        <v>125</v>
      </c>
      <c r="AP175" s="5" t="n">
        <v>10</v>
      </c>
      <c r="AQ175" s="5" t="n">
        <v>3600</v>
      </c>
      <c r="AR175" s="5" t="n">
        <v>125</v>
      </c>
      <c r="AS175" s="5" t="n">
        <v>1218</v>
      </c>
      <c r="AT175" s="28" t="n">
        <v>3600</v>
      </c>
      <c r="AU175" s="28" t="s">
        <v>54</v>
      </c>
      <c r="AV175" s="28" t="n">
        <v>117.948</v>
      </c>
      <c r="AW175" s="28" t="n">
        <v>59</v>
      </c>
      <c r="AX175" s="28" t="n">
        <v>66</v>
      </c>
      <c r="AY175" s="28" t="n">
        <v>1105</v>
      </c>
      <c r="AZ175" s="28" t="n">
        <v>11904</v>
      </c>
      <c r="BA175" s="28" t="n">
        <v>189</v>
      </c>
      <c r="BB175" s="6" t="n">
        <f aca="false">IF(AU175="Optimal", 1, 0)</f>
        <v>0</v>
      </c>
    </row>
    <row r="176" customFormat="false" ht="12.8" hidden="false" customHeight="false" outlineLevel="0" collapsed="false">
      <c r="A176" s="1" t="n">
        <v>10</v>
      </c>
      <c r="B176" s="23" t="s">
        <v>67</v>
      </c>
      <c r="C176" s="24" t="s">
        <v>126</v>
      </c>
      <c r="D176" s="32" t="n">
        <v>125</v>
      </c>
      <c r="E176" s="32" t="n">
        <v>444</v>
      </c>
      <c r="F176" s="32" t="n">
        <v>39</v>
      </c>
      <c r="G176" s="25" t="n">
        <v>11</v>
      </c>
      <c r="H176" s="26" t="n">
        <v>1</v>
      </c>
      <c r="I176" s="25" t="s">
        <v>53</v>
      </c>
      <c r="J176" s="26" t="n">
        <f aca="false">IF(I176="tl", 0, 1)</f>
        <v>0</v>
      </c>
      <c r="K176" s="25" t="n">
        <v>30.37</v>
      </c>
      <c r="L176" s="26" t="n">
        <f aca="false">IF(K176="tl", 0, 1)</f>
        <v>1</v>
      </c>
      <c r="M176" s="25" t="n">
        <v>157.35</v>
      </c>
      <c r="N176" s="26" t="n">
        <f aca="false">IF(M176="tl", 0, 1)</f>
        <v>1</v>
      </c>
      <c r="O176" s="26"/>
      <c r="P176" s="23" t="n">
        <v>0</v>
      </c>
      <c r="Q176" s="23"/>
      <c r="R176" s="2" t="n">
        <f aca="false">IF(S176=C176, 1, 0)</f>
        <v>1</v>
      </c>
      <c r="S176" s="27" t="s">
        <v>126</v>
      </c>
      <c r="T176" s="27" t="n">
        <v>125</v>
      </c>
      <c r="U176" s="27" t="n">
        <v>444</v>
      </c>
      <c r="V176" s="3" t="s">
        <v>51</v>
      </c>
      <c r="W176" s="3" t="n">
        <v>11</v>
      </c>
      <c r="X176" s="3" t="n">
        <v>11</v>
      </c>
      <c r="Y176" s="3" t="n">
        <v>271.77</v>
      </c>
      <c r="Z176" s="3" t="n">
        <v>150.707</v>
      </c>
      <c r="AA176" s="3" t="n">
        <v>3965</v>
      </c>
      <c r="AB176" s="3" t="n">
        <v>49</v>
      </c>
      <c r="AC176" s="3" t="n">
        <v>1901</v>
      </c>
      <c r="AD176" s="3" t="n">
        <v>3234</v>
      </c>
      <c r="AE176" s="3" t="n">
        <v>106</v>
      </c>
      <c r="AF176" s="3" t="n">
        <v>0</v>
      </c>
      <c r="AG176" s="3" t="n">
        <v>9</v>
      </c>
      <c r="AH176" s="3" t="n">
        <v>9</v>
      </c>
      <c r="AI176" s="3" t="n">
        <v>34</v>
      </c>
      <c r="AJ176" s="2" t="n">
        <f aca="false">IF(V176="Optimal", 1, 0)</f>
        <v>1</v>
      </c>
      <c r="AK176" s="3" t="n">
        <f aca="false">IF(AJ176=1, W176-G176)</f>
        <v>0</v>
      </c>
      <c r="AL176" s="4" t="n">
        <f aca="false">IF(AND(AH176&lt;&gt;-1, G176&lt;&gt;"-", G176&lt;&gt;"."), ((G176-AH176)/G176)*100, -1)</f>
        <v>18.1818181818182</v>
      </c>
      <c r="AN176" s="5" t="n">
        <f aca="false">IF(AND(AO176=C176, A176=AP176), 1, 0)</f>
        <v>1</v>
      </c>
      <c r="AO176" s="5" t="s">
        <v>126</v>
      </c>
      <c r="AP176" s="5" t="n">
        <v>10</v>
      </c>
      <c r="AQ176" s="5" t="n">
        <v>3600</v>
      </c>
      <c r="AR176" s="5" t="n">
        <v>125</v>
      </c>
      <c r="AS176" s="5" t="n">
        <v>444</v>
      </c>
      <c r="AT176" s="28" t="n">
        <v>3600</v>
      </c>
      <c r="AU176" s="28" t="s">
        <v>54</v>
      </c>
      <c r="AV176" s="28" t="n">
        <v>121.7</v>
      </c>
      <c r="AW176" s="28" t="n">
        <v>113</v>
      </c>
      <c r="AX176" s="28" t="n">
        <v>12</v>
      </c>
      <c r="AY176" s="28" t="n">
        <v>1196</v>
      </c>
      <c r="AZ176" s="28" t="n">
        <v>4597</v>
      </c>
      <c r="BA176" s="28" t="n">
        <v>21916</v>
      </c>
      <c r="BB176" s="6" t="n">
        <f aca="false">IF(AU176="Optimal", 1, 0)</f>
        <v>0</v>
      </c>
    </row>
    <row r="177" customFormat="false" ht="12.8" hidden="false" customHeight="false" outlineLevel="0" collapsed="false">
      <c r="A177" s="1" t="n">
        <v>10</v>
      </c>
      <c r="B177" s="23" t="s">
        <v>67</v>
      </c>
      <c r="C177" s="24" t="s">
        <v>127</v>
      </c>
      <c r="D177" s="32" t="n">
        <v>125</v>
      </c>
      <c r="E177" s="32" t="n">
        <v>386</v>
      </c>
      <c r="F177" s="32" t="n">
        <v>45</v>
      </c>
      <c r="G177" s="25" t="n">
        <v>13</v>
      </c>
      <c r="H177" s="26" t="n">
        <v>1</v>
      </c>
      <c r="I177" s="25" t="s">
        <v>53</v>
      </c>
      <c r="J177" s="26" t="n">
        <f aca="false">IF(I177="tl", 0, 1)</f>
        <v>0</v>
      </c>
      <c r="K177" s="25" t="n">
        <v>35.26</v>
      </c>
      <c r="L177" s="26" t="n">
        <f aca="false">IF(K177="tl", 0, 1)</f>
        <v>1</v>
      </c>
      <c r="M177" s="25" t="s">
        <v>53</v>
      </c>
      <c r="N177" s="26" t="n">
        <f aca="false">IF(M177="tl", 0, 1)</f>
        <v>0</v>
      </c>
      <c r="O177" s="26"/>
      <c r="P177" s="23" t="n">
        <v>0</v>
      </c>
      <c r="Q177" s="23"/>
      <c r="R177" s="2" t="n">
        <f aca="false">IF(S177=C177, 1, 0)</f>
        <v>1</v>
      </c>
      <c r="S177" s="27" t="s">
        <v>127</v>
      </c>
      <c r="T177" s="27" t="n">
        <v>125</v>
      </c>
      <c r="U177" s="27" t="n">
        <v>386</v>
      </c>
      <c r="V177" s="3" t="s">
        <v>51</v>
      </c>
      <c r="W177" s="3" t="n">
        <v>13</v>
      </c>
      <c r="X177" s="3" t="n">
        <v>13</v>
      </c>
      <c r="Y177" s="3" t="n">
        <v>947.342</v>
      </c>
      <c r="Z177" s="3" t="n">
        <v>688.342</v>
      </c>
      <c r="AA177" s="3" t="n">
        <v>8439</v>
      </c>
      <c r="AB177" s="3" t="n">
        <v>185</v>
      </c>
      <c r="AC177" s="3" t="n">
        <v>1669</v>
      </c>
      <c r="AD177" s="3" t="n">
        <v>2828</v>
      </c>
      <c r="AE177" s="3" t="n">
        <v>105</v>
      </c>
      <c r="AF177" s="3" t="n">
        <v>0</v>
      </c>
      <c r="AG177" s="3" t="n">
        <v>16</v>
      </c>
      <c r="AH177" s="3" t="n">
        <v>8.91892</v>
      </c>
      <c r="AI177" s="3" t="n">
        <v>64</v>
      </c>
      <c r="AJ177" s="2" t="n">
        <f aca="false">IF(V177="Optimal", 1, 0)</f>
        <v>1</v>
      </c>
      <c r="AK177" s="3" t="n">
        <f aca="false">IF(AJ177=1, W177-G177)</f>
        <v>0</v>
      </c>
      <c r="AL177" s="4" t="n">
        <f aca="false">IF(AND(AH177&lt;&gt;-1, G177&lt;&gt;"-", G177&lt;&gt;"."), ((G177-AH177)/G177)*100, -1)</f>
        <v>31.3929230769231</v>
      </c>
      <c r="AN177" s="5" t="n">
        <f aca="false">IF(AND(AO177=C177, A177=AP177), 1, 0)</f>
        <v>1</v>
      </c>
      <c r="AO177" s="5" t="s">
        <v>127</v>
      </c>
      <c r="AP177" s="5" t="n">
        <v>10</v>
      </c>
      <c r="AQ177" s="5" t="n">
        <v>3600</v>
      </c>
      <c r="AR177" s="5" t="n">
        <v>125</v>
      </c>
      <c r="AS177" s="5" t="n">
        <v>386</v>
      </c>
      <c r="AT177" s="28" t="n">
        <v>3600</v>
      </c>
      <c r="AU177" s="28" t="s">
        <v>54</v>
      </c>
      <c r="AV177" s="28" t="n">
        <v>120.166</v>
      </c>
      <c r="AW177" s="28" t="n">
        <v>111</v>
      </c>
      <c r="AX177" s="28" t="n">
        <v>14</v>
      </c>
      <c r="AY177" s="28" t="n">
        <v>1160</v>
      </c>
      <c r="AZ177" s="28" t="n">
        <v>4670</v>
      </c>
      <c r="BA177" s="28" t="n">
        <v>10042</v>
      </c>
      <c r="BB177" s="6" t="n">
        <f aca="false">IF(AU177="Optimal", 1, 0)</f>
        <v>0</v>
      </c>
    </row>
    <row r="178" customFormat="false" ht="12.8" hidden="false" customHeight="false" outlineLevel="0" collapsed="false">
      <c r="A178" s="1" t="n">
        <v>10</v>
      </c>
      <c r="B178" s="23" t="s">
        <v>67</v>
      </c>
      <c r="C178" s="24" t="s">
        <v>128</v>
      </c>
      <c r="D178" s="32" t="n">
        <v>80</v>
      </c>
      <c r="E178" s="32" t="n">
        <v>1201</v>
      </c>
      <c r="F178" s="32" t="n">
        <v>31</v>
      </c>
      <c r="G178" s="25" t="n">
        <v>10</v>
      </c>
      <c r="H178" s="26" t="n">
        <v>1</v>
      </c>
      <c r="I178" s="25" t="n">
        <v>0.22</v>
      </c>
      <c r="J178" s="26" t="n">
        <f aca="false">IF(I178="tl", 0, 1)</f>
        <v>1</v>
      </c>
      <c r="K178" s="25" t="s">
        <v>53</v>
      </c>
      <c r="L178" s="26" t="n">
        <f aca="false">IF(K178="tl", 0, 1)</f>
        <v>0</v>
      </c>
      <c r="M178" s="25" t="n">
        <v>0.09</v>
      </c>
      <c r="N178" s="26" t="n">
        <f aca="false">IF(M178="tl", 0, 1)</f>
        <v>1</v>
      </c>
      <c r="O178" s="26"/>
      <c r="P178" s="23" t="n">
        <v>0</v>
      </c>
      <c r="Q178" s="23"/>
      <c r="R178" s="2" t="n">
        <f aca="false">IF(S178=C178, 1, 0)</f>
        <v>1</v>
      </c>
      <c r="S178" s="27" t="s">
        <v>128</v>
      </c>
      <c r="T178" s="27" t="n">
        <v>80</v>
      </c>
      <c r="U178" s="27" t="n">
        <v>1201</v>
      </c>
      <c r="V178" s="3" t="s">
        <v>51</v>
      </c>
      <c r="W178" s="3" t="n">
        <v>10</v>
      </c>
      <c r="X178" s="3" t="n">
        <v>10</v>
      </c>
      <c r="Y178" s="3" t="n">
        <v>29.9787</v>
      </c>
      <c r="Z178" s="3" t="n">
        <v>6.94416</v>
      </c>
      <c r="AA178" s="3" t="n">
        <v>1507</v>
      </c>
      <c r="AB178" s="3" t="n">
        <v>3</v>
      </c>
      <c r="AC178" s="3" t="n">
        <v>4884</v>
      </c>
      <c r="AD178" s="3" t="n">
        <v>8488</v>
      </c>
      <c r="AE178" s="3" t="n">
        <v>13</v>
      </c>
      <c r="AF178" s="3" t="n">
        <v>0</v>
      </c>
      <c r="AG178" s="3" t="n">
        <v>1</v>
      </c>
      <c r="AH178" s="3" t="n">
        <v>9.23077</v>
      </c>
      <c r="AI178" s="3" t="n">
        <v>61</v>
      </c>
      <c r="AJ178" s="2" t="n">
        <f aca="false">IF(V178="Optimal", 1, 0)</f>
        <v>1</v>
      </c>
      <c r="AK178" s="3" t="n">
        <f aca="false">IF(AJ178=1, W178-G178)</f>
        <v>0</v>
      </c>
      <c r="AL178" s="4" t="n">
        <f aca="false">IF(AND(AH178&lt;&gt;-1, G178&lt;&gt;"-", G178&lt;&gt;"."), ((G178-AH178)/G178)*100, -1)</f>
        <v>7.6923</v>
      </c>
      <c r="AN178" s="5" t="n">
        <f aca="false">IF(AND(AO178=C178, A178=AP178), 1, 0)</f>
        <v>1</v>
      </c>
      <c r="AO178" s="5" t="s">
        <v>128</v>
      </c>
      <c r="AP178" s="5" t="n">
        <v>10</v>
      </c>
      <c r="AQ178" s="5" t="n">
        <v>3600</v>
      </c>
      <c r="AR178" s="5" t="n">
        <v>80</v>
      </c>
      <c r="AS178" s="5" t="n">
        <v>1201</v>
      </c>
      <c r="AT178" s="28" t="n">
        <v>283.007</v>
      </c>
      <c r="AU178" s="28" t="s">
        <v>51</v>
      </c>
      <c r="AV178" s="28" t="n">
        <v>70</v>
      </c>
      <c r="AW178" s="28" t="n">
        <v>70</v>
      </c>
      <c r="AX178" s="28" t="n">
        <v>10</v>
      </c>
      <c r="AY178" s="28" t="n">
        <v>800</v>
      </c>
      <c r="AZ178" s="28" t="n">
        <v>10710</v>
      </c>
      <c r="BA178" s="28" t="n">
        <v>121</v>
      </c>
      <c r="BB178" s="6" t="n">
        <f aca="false">IF(AU178="Optimal", 1, 0)</f>
        <v>1</v>
      </c>
    </row>
    <row r="179" customFormat="false" ht="12.8" hidden="false" customHeight="false" outlineLevel="0" collapsed="false">
      <c r="A179" s="1" t="n">
        <v>10</v>
      </c>
      <c r="B179" s="23" t="s">
        <v>67</v>
      </c>
      <c r="C179" s="24" t="s">
        <v>131</v>
      </c>
      <c r="D179" s="32" t="n">
        <v>80</v>
      </c>
      <c r="E179" s="32" t="n">
        <v>1786</v>
      </c>
      <c r="F179" s="32" t="n">
        <v>15</v>
      </c>
      <c r="G179" s="25" t="n">
        <v>36</v>
      </c>
      <c r="H179" s="26" t="n">
        <v>1</v>
      </c>
      <c r="I179" s="25" t="n">
        <v>3.27</v>
      </c>
      <c r="J179" s="26" t="n">
        <f aca="false">IF(I179="tl", 0, 1)</f>
        <v>1</v>
      </c>
      <c r="K179" s="25" t="s">
        <v>53</v>
      </c>
      <c r="L179" s="26" t="n">
        <f aca="false">IF(K179="tl", 0, 1)</f>
        <v>0</v>
      </c>
      <c r="M179" s="25" t="n">
        <v>6.38</v>
      </c>
      <c r="N179" s="26" t="n">
        <f aca="false">IF(M179="tl", 0, 1)</f>
        <v>1</v>
      </c>
      <c r="O179" s="26"/>
      <c r="P179" s="23" t="n">
        <v>15</v>
      </c>
      <c r="Q179" s="23"/>
      <c r="R179" s="2" t="n">
        <f aca="false">IF(S179=C179, 1, 0)</f>
        <v>1</v>
      </c>
      <c r="S179" s="27" t="s">
        <v>131</v>
      </c>
      <c r="T179" s="27" t="n">
        <v>80</v>
      </c>
      <c r="U179" s="27" t="n">
        <v>1786</v>
      </c>
      <c r="V179" s="3" t="s">
        <v>54</v>
      </c>
      <c r="W179" s="3" t="n">
        <v>60</v>
      </c>
      <c r="X179" s="3" t="n">
        <v>10.2338</v>
      </c>
      <c r="Y179" s="3" t="n">
        <v>1800.07</v>
      </c>
      <c r="Z179" s="3" t="n">
        <v>118.237</v>
      </c>
      <c r="AA179" s="3" t="n">
        <v>7355</v>
      </c>
      <c r="AB179" s="3" t="n">
        <v>11</v>
      </c>
      <c r="AC179" s="3" t="n">
        <v>7224</v>
      </c>
      <c r="AD179" s="3" t="n">
        <v>12583</v>
      </c>
      <c r="AE179" s="3" t="n">
        <v>1</v>
      </c>
      <c r="AF179" s="3" t="n">
        <v>0</v>
      </c>
      <c r="AG179" s="3" t="n">
        <v>8</v>
      </c>
      <c r="AH179" s="3" t="n">
        <v>9.23077</v>
      </c>
      <c r="AI179" s="3" t="n">
        <v>64</v>
      </c>
      <c r="AJ179" s="2" t="n">
        <f aca="false">IF(V179="Optimal", 1, 0)</f>
        <v>0</v>
      </c>
      <c r="AK179" s="29" t="b">
        <f aca="false">IF(AJ179=1, W179-G179)</f>
        <v>0</v>
      </c>
      <c r="AL179" s="4" t="n">
        <f aca="false">IF(AND(AH179&lt;&gt;-1, G179&lt;&gt;"-", G179&lt;&gt;"."), ((G179-AH179)/G179)*100, -1)</f>
        <v>74.3589722222222</v>
      </c>
      <c r="AN179" s="5" t="n">
        <f aca="false">IF(AND(AO179=C179, A179=AP179), 1, 0)</f>
        <v>1</v>
      </c>
      <c r="AO179" s="5" t="s">
        <v>131</v>
      </c>
      <c r="AP179" s="5" t="n">
        <v>10</v>
      </c>
      <c r="AQ179" s="5" t="n">
        <v>3600</v>
      </c>
      <c r="AR179" s="5" t="n">
        <v>80</v>
      </c>
      <c r="AS179" s="5" t="n">
        <v>1786</v>
      </c>
      <c r="AT179" s="28" t="n">
        <v>3600</v>
      </c>
      <c r="AU179" s="28" t="s">
        <v>54</v>
      </c>
      <c r="AV179" s="28" t="n">
        <v>57.0807</v>
      </c>
      <c r="AW179" s="28" t="n">
        <v>44</v>
      </c>
      <c r="AX179" s="28" t="n">
        <v>36</v>
      </c>
      <c r="AY179" s="28" t="n">
        <v>755</v>
      </c>
      <c r="AZ179" s="28" t="n">
        <v>19908</v>
      </c>
      <c r="BA179" s="28" t="n">
        <v>6733</v>
      </c>
      <c r="BB179" s="6" t="n">
        <f aca="false">IF(AU179="Optimal", 1, 0)</f>
        <v>0</v>
      </c>
    </row>
    <row r="180" customFormat="false" ht="12.8" hidden="false" customHeight="false" outlineLevel="0" collapsed="false">
      <c r="A180" s="1" t="n">
        <v>10</v>
      </c>
      <c r="B180" s="23" t="s">
        <v>67</v>
      </c>
      <c r="C180" s="24" t="s">
        <v>132</v>
      </c>
      <c r="D180" s="32" t="n">
        <v>80</v>
      </c>
      <c r="E180" s="32" t="n">
        <v>1848</v>
      </c>
      <c r="F180" s="32" t="n">
        <v>11</v>
      </c>
      <c r="G180" s="25" t="n">
        <v>48</v>
      </c>
      <c r="H180" s="26" t="n">
        <v>1</v>
      </c>
      <c r="I180" s="25" t="n">
        <v>0.66</v>
      </c>
      <c r="J180" s="26" t="n">
        <f aca="false">IF(I180="tl", 0, 1)</f>
        <v>1</v>
      </c>
      <c r="K180" s="25" t="n">
        <v>14.19</v>
      </c>
      <c r="L180" s="26" t="n">
        <f aca="false">IF(K180="tl", 0, 1)</f>
        <v>1</v>
      </c>
      <c r="M180" s="25" t="n">
        <v>2.86</v>
      </c>
      <c r="N180" s="26" t="n">
        <f aca="false">IF(M180="tl", 0, 1)</f>
        <v>1</v>
      </c>
      <c r="O180" s="26"/>
      <c r="P180" s="23" t="n">
        <v>29</v>
      </c>
      <c r="Q180" s="23"/>
      <c r="R180" s="2" t="n">
        <f aca="false">IF(S180=C180, 1, 0)</f>
        <v>1</v>
      </c>
      <c r="S180" s="27" t="s">
        <v>132</v>
      </c>
      <c r="T180" s="27" t="n">
        <v>80</v>
      </c>
      <c r="U180" s="27" t="n">
        <v>1848</v>
      </c>
      <c r="V180" s="3" t="s">
        <v>54</v>
      </c>
      <c r="W180" s="3" t="n">
        <v>70</v>
      </c>
      <c r="X180" s="3" t="n">
        <v>8.64935</v>
      </c>
      <c r="Y180" s="3" t="n">
        <v>1800.06</v>
      </c>
      <c r="Z180" s="3" t="n">
        <v>119.334</v>
      </c>
      <c r="AA180" s="3" t="n">
        <v>9617</v>
      </c>
      <c r="AB180" s="3" t="n">
        <v>3</v>
      </c>
      <c r="AC180" s="3" t="n">
        <v>7472</v>
      </c>
      <c r="AD180" s="3" t="n">
        <v>13017</v>
      </c>
      <c r="AE180" s="3" t="n">
        <v>7</v>
      </c>
      <c r="AF180" s="3" t="n">
        <v>0</v>
      </c>
      <c r="AG180" s="3" t="n">
        <v>1</v>
      </c>
      <c r="AH180" s="3" t="n">
        <v>8.64935</v>
      </c>
      <c r="AI180" s="3" t="n">
        <v>70</v>
      </c>
      <c r="AJ180" s="2" t="n">
        <f aca="false">IF(V180="Optimal", 1, 0)</f>
        <v>0</v>
      </c>
      <c r="AK180" s="29" t="b">
        <f aca="false">IF(AJ180=1, W180-G180)</f>
        <v>0</v>
      </c>
      <c r="AL180" s="4" t="n">
        <f aca="false">IF(AND(AH180&lt;&gt;-1, G180&lt;&gt;"-", G180&lt;&gt;"."), ((G180-AH180)/G180)*100, -1)</f>
        <v>81.9805208333333</v>
      </c>
      <c r="AN180" s="5" t="n">
        <f aca="false">IF(AND(AO180=C180, A180=AP180), 1, 0)</f>
        <v>1</v>
      </c>
      <c r="AO180" s="5" t="s">
        <v>132</v>
      </c>
      <c r="AP180" s="5" t="n">
        <v>10</v>
      </c>
      <c r="AQ180" s="5" t="n">
        <v>3600</v>
      </c>
      <c r="AR180" s="5" t="n">
        <v>80</v>
      </c>
      <c r="AS180" s="5" t="n">
        <v>1848</v>
      </c>
      <c r="AT180" s="28" t="n">
        <v>2527.54</v>
      </c>
      <c r="AU180" s="28" t="s">
        <v>51</v>
      </c>
      <c r="AV180" s="28" t="n">
        <v>32</v>
      </c>
      <c r="AW180" s="28" t="n">
        <v>32</v>
      </c>
      <c r="AX180" s="28" t="n">
        <v>48</v>
      </c>
      <c r="AY180" s="28" t="n">
        <v>656</v>
      </c>
      <c r="AZ180" s="28" t="n">
        <v>2115</v>
      </c>
      <c r="BA180" s="28" t="n">
        <v>162</v>
      </c>
      <c r="BB180" s="6" t="n">
        <f aca="false">IF(AU180="Optimal", 1, 0)</f>
        <v>1</v>
      </c>
    </row>
    <row r="181" customFormat="false" ht="12.8" hidden="false" customHeight="false" outlineLevel="0" collapsed="false">
      <c r="A181" s="1" t="n">
        <v>10</v>
      </c>
      <c r="B181" s="23" t="s">
        <v>67</v>
      </c>
      <c r="C181" s="24" t="s">
        <v>133</v>
      </c>
      <c r="D181" s="32" t="n">
        <v>80</v>
      </c>
      <c r="E181" s="32" t="n">
        <v>1739</v>
      </c>
      <c r="F181" s="32" t="n">
        <v>13</v>
      </c>
      <c r="G181" s="25" t="n">
        <v>12</v>
      </c>
      <c r="H181" s="26" t="n">
        <v>1</v>
      </c>
      <c r="I181" s="25" t="n">
        <v>0.16</v>
      </c>
      <c r="J181" s="26" t="n">
        <f aca="false">IF(I181="tl", 0, 1)</f>
        <v>1</v>
      </c>
      <c r="K181" s="25" t="n">
        <v>37.53</v>
      </c>
      <c r="L181" s="26" t="n">
        <f aca="false">IF(K181="tl", 0, 1)</f>
        <v>1</v>
      </c>
      <c r="M181" s="25" t="n">
        <v>0.75</v>
      </c>
      <c r="N181" s="26" t="n">
        <f aca="false">IF(M181="tl", 0, 1)</f>
        <v>1</v>
      </c>
      <c r="O181" s="26"/>
      <c r="P181" s="23" t="n">
        <v>0</v>
      </c>
      <c r="Q181" s="23"/>
      <c r="R181" s="2" t="n">
        <f aca="false">IF(S181=C181, 1, 0)</f>
        <v>1</v>
      </c>
      <c r="S181" s="27" t="s">
        <v>133</v>
      </c>
      <c r="T181" s="27" t="n">
        <v>80</v>
      </c>
      <c r="U181" s="27" t="n">
        <v>1739</v>
      </c>
      <c r="V181" s="3" t="s">
        <v>54</v>
      </c>
      <c r="W181" s="3" t="n">
        <v>12</v>
      </c>
      <c r="X181" s="3" t="n">
        <v>8.41558</v>
      </c>
      <c r="Y181" s="3" t="n">
        <v>1800</v>
      </c>
      <c r="Z181" s="3" t="n">
        <v>76.0758</v>
      </c>
      <c r="AA181" s="3" t="n">
        <v>6659</v>
      </c>
      <c r="AB181" s="3" t="n">
        <v>3</v>
      </c>
      <c r="AC181" s="3" t="n">
        <v>7036</v>
      </c>
      <c r="AD181" s="3" t="n">
        <v>12254</v>
      </c>
      <c r="AE181" s="3" t="n">
        <v>5</v>
      </c>
      <c r="AF181" s="3" t="n">
        <v>0</v>
      </c>
      <c r="AG181" s="3" t="n">
        <v>1</v>
      </c>
      <c r="AH181" s="3" t="n">
        <v>8.41558</v>
      </c>
      <c r="AI181" s="3" t="n">
        <v>66</v>
      </c>
      <c r="AJ181" s="2" t="n">
        <f aca="false">IF(V181="Optimal", 1, 0)</f>
        <v>0</v>
      </c>
      <c r="AK181" s="29" t="b">
        <f aca="false">IF(AJ181=1, W181-G181)</f>
        <v>0</v>
      </c>
      <c r="AL181" s="4" t="n">
        <f aca="false">IF(AND(AH181&lt;&gt;-1, G181&lt;&gt;"-", G181&lt;&gt;"."), ((G181-AH181)/G181)*100, -1)</f>
        <v>29.8701666666667</v>
      </c>
      <c r="AN181" s="5" t="n">
        <f aca="false">IF(AND(AO181=C181, A181=AP181), 1, 0)</f>
        <v>1</v>
      </c>
      <c r="AO181" s="5" t="s">
        <v>133</v>
      </c>
      <c r="AP181" s="5" t="n">
        <v>10</v>
      </c>
      <c r="AQ181" s="5" t="n">
        <v>3600</v>
      </c>
      <c r="AR181" s="5" t="n">
        <v>80</v>
      </c>
      <c r="AS181" s="5" t="n">
        <v>1739</v>
      </c>
      <c r="AT181" s="28" t="n">
        <v>1051.63</v>
      </c>
      <c r="AU181" s="28" t="s">
        <v>51</v>
      </c>
      <c r="AV181" s="28" t="n">
        <v>68</v>
      </c>
      <c r="AW181" s="28" t="n">
        <v>68</v>
      </c>
      <c r="AX181" s="28" t="n">
        <v>12</v>
      </c>
      <c r="AY181" s="28" t="n">
        <v>755</v>
      </c>
      <c r="AZ181" s="28" t="n">
        <v>2027</v>
      </c>
      <c r="BA181" s="28" t="n">
        <v>177</v>
      </c>
      <c r="BB181" s="6" t="n">
        <f aca="false">IF(AU181="Optimal", 1, 0)</f>
        <v>1</v>
      </c>
    </row>
    <row r="182" customFormat="false" ht="12.8" hidden="false" customHeight="false" outlineLevel="0" collapsed="false">
      <c r="A182" s="1" t="n">
        <v>10</v>
      </c>
      <c r="B182" s="23" t="s">
        <v>64</v>
      </c>
      <c r="C182" s="24" t="s">
        <v>134</v>
      </c>
      <c r="D182" s="32" t="n">
        <v>77</v>
      </c>
      <c r="E182" s="32" t="n">
        <v>254</v>
      </c>
      <c r="F182" s="32" t="n">
        <v>35</v>
      </c>
      <c r="G182" s="25" t="n">
        <v>2</v>
      </c>
      <c r="H182" s="26" t="n">
        <v>1</v>
      </c>
      <c r="I182" s="26" t="n">
        <v>0.57</v>
      </c>
      <c r="J182" s="26" t="n">
        <f aca="false">IF(I182="tl", 0, 1)</f>
        <v>1</v>
      </c>
      <c r="K182" s="26" t="n">
        <v>3.72</v>
      </c>
      <c r="L182" s="26" t="n">
        <f aca="false">IF(K182="tl", 0, 1)</f>
        <v>1</v>
      </c>
      <c r="M182" s="26" t="n">
        <v>0</v>
      </c>
      <c r="N182" s="26" t="n">
        <f aca="false">IF(M182="tl", 0, 1)</f>
        <v>1</v>
      </c>
      <c r="O182" s="26"/>
      <c r="P182" s="23" t="n">
        <v>0</v>
      </c>
      <c r="Q182" s="23"/>
      <c r="R182" s="2" t="n">
        <f aca="false">IF(S182=C182, 1, 0)</f>
        <v>1</v>
      </c>
      <c r="S182" s="27" t="s">
        <v>134</v>
      </c>
      <c r="T182" s="27" t="n">
        <v>77</v>
      </c>
      <c r="U182" s="27" t="n">
        <v>254</v>
      </c>
      <c r="V182" s="3" t="s">
        <v>51</v>
      </c>
      <c r="W182" s="3" t="n">
        <v>2</v>
      </c>
      <c r="X182" s="3" t="n">
        <v>2</v>
      </c>
      <c r="Y182" s="3" t="n">
        <v>1.69176</v>
      </c>
      <c r="Z182" s="3" t="n">
        <v>0.594706</v>
      </c>
      <c r="AA182" s="3" t="n">
        <v>500</v>
      </c>
      <c r="AB182" s="3" t="n">
        <v>1</v>
      </c>
      <c r="AC182" s="3" t="n">
        <v>1093</v>
      </c>
      <c r="AD182" s="3" t="n">
        <v>1856</v>
      </c>
      <c r="AE182" s="3" t="n">
        <v>169</v>
      </c>
      <c r="AF182" s="3" t="n">
        <v>0</v>
      </c>
      <c r="AG182" s="3" t="n">
        <v>0</v>
      </c>
      <c r="AH182" s="3" t="n">
        <v>-1</v>
      </c>
      <c r="AI182" s="3" t="n">
        <v>-1</v>
      </c>
      <c r="AJ182" s="2" t="n">
        <f aca="false">IF(V182="Optimal", 1, 0)</f>
        <v>1</v>
      </c>
      <c r="AK182" s="3" t="n">
        <f aca="false">IF(AJ182=1, W182-G182)</f>
        <v>0</v>
      </c>
      <c r="AL182" s="4" t="n">
        <f aca="false">IF(AND(AH182&lt;&gt;-1, G182&lt;&gt;"-", G182&lt;&gt;"."), ((G182-AH182)/G182)*100, -1)</f>
        <v>-1</v>
      </c>
      <c r="AN182" s="5" t="n">
        <f aca="false">IF(AND(AO182=C182, A182=AP182), 1, 0)</f>
        <v>1</v>
      </c>
      <c r="AO182" s="5" t="s">
        <v>134</v>
      </c>
      <c r="AP182" s="5" t="n">
        <v>10</v>
      </c>
      <c r="AQ182" s="5" t="n">
        <v>3600</v>
      </c>
      <c r="AR182" s="5" t="n">
        <v>77</v>
      </c>
      <c r="AS182" s="5" t="n">
        <v>254</v>
      </c>
      <c r="AT182" s="28" t="n">
        <v>35.4434</v>
      </c>
      <c r="AU182" s="28" t="s">
        <v>51</v>
      </c>
      <c r="AV182" s="28" t="n">
        <v>75</v>
      </c>
      <c r="AW182" s="28" t="n">
        <v>75</v>
      </c>
      <c r="AX182" s="28" t="n">
        <v>2</v>
      </c>
      <c r="AY182" s="28" t="n">
        <v>770</v>
      </c>
      <c r="AZ182" s="28" t="n">
        <v>2607</v>
      </c>
      <c r="BA182" s="28" t="n">
        <v>16</v>
      </c>
      <c r="BB182" s="6" t="n">
        <f aca="false">IF(AU182="Optimal", 1, 0)</f>
        <v>1</v>
      </c>
    </row>
    <row r="183" customFormat="false" ht="12.8" hidden="false" customHeight="false" outlineLevel="0" collapsed="false">
      <c r="A183" s="1" t="n">
        <v>10</v>
      </c>
      <c r="B183" s="23" t="s">
        <v>67</v>
      </c>
      <c r="C183" s="24" t="s">
        <v>135</v>
      </c>
      <c r="D183" s="32" t="n">
        <v>147</v>
      </c>
      <c r="E183" s="32" t="n">
        <v>2837</v>
      </c>
      <c r="F183" s="32" t="n">
        <v>10</v>
      </c>
      <c r="G183" s="25" t="s">
        <v>77</v>
      </c>
      <c r="H183" s="3" t="n">
        <v>0</v>
      </c>
      <c r="I183" s="25" t="s">
        <v>53</v>
      </c>
      <c r="J183" s="26" t="n">
        <f aca="false">IF(I183="tl", 0, 1)</f>
        <v>0</v>
      </c>
      <c r="K183" s="25" t="s">
        <v>53</v>
      </c>
      <c r="L183" s="26" t="n">
        <f aca="false">IF(K183="tl", 0, 1)</f>
        <v>0</v>
      </c>
      <c r="M183" s="25" t="s">
        <v>53</v>
      </c>
      <c r="N183" s="26" t="n">
        <f aca="false">IF(M183="tl", 0, 1)</f>
        <v>0</v>
      </c>
      <c r="O183" s="26"/>
      <c r="P183" s="23" t="n">
        <v>21</v>
      </c>
      <c r="Q183" s="23"/>
      <c r="R183" s="2" t="n">
        <f aca="false">IF(S183=C183, 1, 0)</f>
        <v>1</v>
      </c>
      <c r="S183" s="27" t="s">
        <v>135</v>
      </c>
      <c r="T183" s="27" t="n">
        <v>147</v>
      </c>
      <c r="U183" s="27" t="n">
        <v>2837</v>
      </c>
      <c r="V183" s="3" t="s">
        <v>54</v>
      </c>
      <c r="W183" s="30" t="n">
        <v>1E+020</v>
      </c>
      <c r="X183" s="3" t="n">
        <v>9.12414</v>
      </c>
      <c r="Y183" s="3" t="n">
        <v>1800.09</v>
      </c>
      <c r="Z183" s="3" t="n">
        <v>200.49</v>
      </c>
      <c r="AA183" s="3" t="n">
        <v>6246</v>
      </c>
      <c r="AB183" s="3" t="n">
        <v>7</v>
      </c>
      <c r="AC183" s="3" t="n">
        <v>11495</v>
      </c>
      <c r="AD183" s="3" t="n">
        <v>20007</v>
      </c>
      <c r="AE183" s="3" t="n">
        <v>6</v>
      </c>
      <c r="AF183" s="3" t="n">
        <v>0</v>
      </c>
      <c r="AG183" s="3" t="n">
        <v>5</v>
      </c>
      <c r="AH183" s="3" t="n">
        <v>9.12414</v>
      </c>
      <c r="AI183" s="30" t="n">
        <v>1E+020</v>
      </c>
      <c r="AJ183" s="2" t="n">
        <f aca="false">IF(V183="Optimal", 1, 0)</f>
        <v>0</v>
      </c>
      <c r="AK183" s="29" t="b">
        <f aca="false">IF(AJ183=1, W183-G183)</f>
        <v>0</v>
      </c>
      <c r="AL183" s="4" t="n">
        <f aca="false">IF(AND(AH183&lt;&gt;-1, G183&lt;&gt;"-", G183&lt;&gt;"."), ((G183-AH183)/G183)*100, -1)</f>
        <v>-1</v>
      </c>
      <c r="AN183" s="5" t="n">
        <f aca="false">IF(AND(AO183=C183, A183=AP183), 1, 0)</f>
        <v>1</v>
      </c>
      <c r="AO183" s="5" t="s">
        <v>135</v>
      </c>
      <c r="AP183" s="5" t="n">
        <v>10</v>
      </c>
      <c r="AQ183" s="5" t="n">
        <v>3600</v>
      </c>
      <c r="AR183" s="5" t="n">
        <v>147</v>
      </c>
      <c r="AS183" s="5" t="n">
        <v>2837</v>
      </c>
      <c r="AT183" s="28" t="n">
        <v>3600</v>
      </c>
      <c r="AU183" s="28" t="s">
        <v>54</v>
      </c>
      <c r="AV183" s="28" t="n">
        <v>140.926</v>
      </c>
      <c r="AW183" s="28" t="n">
        <v>24</v>
      </c>
      <c r="AX183" s="28" t="n">
        <v>123</v>
      </c>
      <c r="AY183" s="28" t="n">
        <v>1269</v>
      </c>
      <c r="AZ183" s="28" t="n">
        <v>25011</v>
      </c>
      <c r="BA183" s="28" t="n">
        <v>161</v>
      </c>
      <c r="BB183" s="6" t="n">
        <f aca="false">IF(AU183="Optimal", 1, 0)</f>
        <v>0</v>
      </c>
    </row>
    <row r="184" customFormat="false" ht="12.8" hidden="false" customHeight="false" outlineLevel="0" collapsed="false">
      <c r="A184" s="33" t="n">
        <v>10</v>
      </c>
      <c r="B184" s="34" t="s">
        <v>49</v>
      </c>
      <c r="C184" s="35" t="s">
        <v>138</v>
      </c>
      <c r="D184" s="36" t="n">
        <v>128</v>
      </c>
      <c r="E184" s="36" t="n">
        <v>387</v>
      </c>
      <c r="F184" s="36" t="n">
        <v>44</v>
      </c>
      <c r="G184" s="37" t="s">
        <v>86</v>
      </c>
      <c r="H184" s="38" t="n">
        <v>1</v>
      </c>
      <c r="I184" s="37" t="s">
        <v>86</v>
      </c>
      <c r="J184" s="38" t="n">
        <f aca="false">IF(I184="tl", 0, 1)</f>
        <v>1</v>
      </c>
      <c r="K184" s="37" t="s">
        <v>86</v>
      </c>
      <c r="L184" s="38" t="n">
        <f aca="false">IF(K184="tl", 0, 1)</f>
        <v>1</v>
      </c>
      <c r="M184" s="37" t="s">
        <v>86</v>
      </c>
      <c r="N184" s="38" t="n">
        <f aca="false">IF(M184="tl", 0, 1)</f>
        <v>1</v>
      </c>
      <c r="O184" s="38"/>
      <c r="P184" s="31" t="n">
        <v>0</v>
      </c>
      <c r="Q184" s="31"/>
      <c r="R184" s="31" t="n">
        <f aca="false">IF(S184=C184, 1, 0)</f>
        <v>1</v>
      </c>
      <c r="S184" s="39" t="s">
        <v>138</v>
      </c>
      <c r="T184" s="39" t="n">
        <v>128</v>
      </c>
      <c r="U184" s="39" t="n">
        <v>387</v>
      </c>
      <c r="V184" s="40" t="s">
        <v>51</v>
      </c>
      <c r="W184" s="40" t="n">
        <v>1</v>
      </c>
      <c r="X184" s="40" t="n">
        <v>1</v>
      </c>
      <c r="Y184" s="40" t="n">
        <v>2.69398</v>
      </c>
      <c r="Z184" s="40" t="n">
        <v>0.780463</v>
      </c>
      <c r="AA184" s="40" t="n">
        <v>737</v>
      </c>
      <c r="AB184" s="40" t="n">
        <v>1</v>
      </c>
      <c r="AC184" s="40" t="n">
        <v>1676</v>
      </c>
      <c r="AD184" s="40" t="n">
        <v>2838</v>
      </c>
      <c r="AE184" s="40" t="n">
        <v>222</v>
      </c>
      <c r="AF184" s="40" t="n">
        <v>0</v>
      </c>
      <c r="AG184" s="40" t="n">
        <v>0</v>
      </c>
      <c r="AH184" s="40" t="n">
        <v>-1</v>
      </c>
      <c r="AI184" s="40" t="n">
        <v>-1</v>
      </c>
      <c r="AJ184" s="31" t="n">
        <f aca="false">IF(V184="Optimal", 1, 0)</f>
        <v>1</v>
      </c>
      <c r="AK184" s="3" t="e">
        <f aca="false">IF(AJ184=1, W184-G184)</f>
        <v>#VALUE!</v>
      </c>
      <c r="AL184" s="4" t="n">
        <f aca="false">IF(AND(AH184&lt;&gt;-1, G184&lt;&gt;"-", G184&lt;&gt;"."), ((G184-AH184)/G184)*100, -1)</f>
        <v>-1</v>
      </c>
      <c r="AN184" s="5" t="n">
        <f aca="false">IF(AND(AO184=C184, A184=AP184), 1, 0)</f>
        <v>1</v>
      </c>
      <c r="AO184" s="5" t="s">
        <v>138</v>
      </c>
      <c r="AP184" s="5" t="n">
        <v>10</v>
      </c>
      <c r="AQ184" s="5" t="n">
        <v>3600</v>
      </c>
      <c r="AR184" s="5" t="n">
        <v>128</v>
      </c>
      <c r="AS184" s="5" t="n">
        <v>387</v>
      </c>
      <c r="AT184" s="28" t="n">
        <v>21.6704</v>
      </c>
      <c r="AU184" s="28" t="s">
        <v>51</v>
      </c>
      <c r="AV184" s="28" t="n">
        <v>128</v>
      </c>
      <c r="AW184" s="28" t="n">
        <v>128</v>
      </c>
      <c r="AX184" s="28" t="n">
        <v>0</v>
      </c>
      <c r="AY184" s="28" t="n">
        <v>1235</v>
      </c>
      <c r="AZ184" s="28" t="n">
        <v>3872</v>
      </c>
      <c r="BA184" s="28" t="n">
        <v>6</v>
      </c>
      <c r="BB184" s="6" t="n">
        <f aca="false">IF(AU184="Optimal", 1, 0)</f>
        <v>1</v>
      </c>
    </row>
    <row r="185" customFormat="false" ht="12.8" hidden="false" customHeight="false" outlineLevel="0" collapsed="false">
      <c r="A185" s="1" t="n">
        <v>10</v>
      </c>
      <c r="B185" s="23" t="s">
        <v>49</v>
      </c>
      <c r="C185" s="24" t="s">
        <v>139</v>
      </c>
      <c r="D185" s="32" t="n">
        <v>128</v>
      </c>
      <c r="E185" s="32" t="n">
        <v>1170</v>
      </c>
      <c r="F185" s="32" t="n">
        <v>18</v>
      </c>
      <c r="G185" s="25" t="s">
        <v>77</v>
      </c>
      <c r="H185" s="3" t="n">
        <v>0</v>
      </c>
      <c r="I185" s="26" t="s">
        <v>53</v>
      </c>
      <c r="J185" s="26" t="n">
        <f aca="false">IF(I185="tl", 0, 1)</f>
        <v>0</v>
      </c>
      <c r="K185" s="26" t="s">
        <v>53</v>
      </c>
      <c r="L185" s="26" t="n">
        <f aca="false">IF(K185="tl", 0, 1)</f>
        <v>0</v>
      </c>
      <c r="M185" s="26" t="s">
        <v>53</v>
      </c>
      <c r="N185" s="26" t="n">
        <f aca="false">IF(M185="tl", 0, 1)</f>
        <v>0</v>
      </c>
      <c r="O185" s="26"/>
      <c r="P185" s="23" t="n">
        <v>0</v>
      </c>
      <c r="Q185" s="23"/>
      <c r="R185" s="2" t="n">
        <f aca="false">IF(S185=C185, 1, 0)</f>
        <v>1</v>
      </c>
      <c r="S185" s="27" t="s">
        <v>139</v>
      </c>
      <c r="T185" s="27" t="n">
        <v>128</v>
      </c>
      <c r="U185" s="27" t="n">
        <v>1170</v>
      </c>
      <c r="V185" s="3" t="s">
        <v>54</v>
      </c>
      <c r="W185" s="3" t="n">
        <v>98</v>
      </c>
      <c r="X185" s="3" t="n">
        <v>9.81818</v>
      </c>
      <c r="Y185" s="3" t="n">
        <v>1800.01</v>
      </c>
      <c r="Z185" s="3" t="n">
        <v>65.3339</v>
      </c>
      <c r="AA185" s="3" t="n">
        <v>5211</v>
      </c>
      <c r="AB185" s="3" t="n">
        <v>8</v>
      </c>
      <c r="AC185" s="3" t="n">
        <v>4808</v>
      </c>
      <c r="AD185" s="3" t="n">
        <v>8319</v>
      </c>
      <c r="AE185" s="3" t="n">
        <v>30</v>
      </c>
      <c r="AF185" s="3" t="n">
        <v>0</v>
      </c>
      <c r="AG185" s="3" t="n">
        <v>6</v>
      </c>
      <c r="AH185" s="3" t="n">
        <v>9.14286</v>
      </c>
      <c r="AI185" s="3" t="n">
        <v>98</v>
      </c>
      <c r="AJ185" s="2" t="n">
        <f aca="false">IF(V185="Optimal", 1, 0)</f>
        <v>0</v>
      </c>
      <c r="AK185" s="29" t="b">
        <f aca="false">IF(AJ185=1, W185-G185)</f>
        <v>0</v>
      </c>
      <c r="AL185" s="4" t="n">
        <f aca="false">IF(AND(AH185&lt;&gt;-1, G185&lt;&gt;"-", G185&lt;&gt;"."), ((G185-AH185)/G185)*100, -1)</f>
        <v>-1</v>
      </c>
      <c r="AN185" s="5" t="n">
        <f aca="false">IF(AND(AO185=C185, A185=AP185), 1, 0)</f>
        <v>1</v>
      </c>
      <c r="AO185" s="5" t="s">
        <v>139</v>
      </c>
      <c r="AP185" s="5" t="n">
        <v>10</v>
      </c>
      <c r="AQ185" s="5" t="n">
        <v>3600</v>
      </c>
      <c r="AR185" s="5" t="n">
        <v>128</v>
      </c>
      <c r="AS185" s="5" t="n">
        <v>1170</v>
      </c>
      <c r="AT185" s="28" t="n">
        <v>3600</v>
      </c>
      <c r="AU185" s="28" t="s">
        <v>54</v>
      </c>
      <c r="AV185" s="28" t="n">
        <v>125.098</v>
      </c>
      <c r="AW185" s="28" t="n">
        <v>101</v>
      </c>
      <c r="AX185" s="28" t="n">
        <v>27</v>
      </c>
      <c r="AY185" s="28" t="n">
        <v>1221</v>
      </c>
      <c r="AZ185" s="28" t="n">
        <v>12210</v>
      </c>
      <c r="BA185" s="28" t="n">
        <v>508</v>
      </c>
      <c r="BB185" s="6" t="n">
        <f aca="false">IF(AU185="Optimal", 1, 0)</f>
        <v>0</v>
      </c>
    </row>
    <row r="186" customFormat="false" ht="12.8" hidden="false" customHeight="false" outlineLevel="0" collapsed="false">
      <c r="A186" s="1" t="n">
        <v>10</v>
      </c>
      <c r="B186" s="23" t="s">
        <v>49</v>
      </c>
      <c r="C186" s="24" t="s">
        <v>140</v>
      </c>
      <c r="D186" s="32" t="n">
        <v>128</v>
      </c>
      <c r="E186" s="32" t="n">
        <v>2113</v>
      </c>
      <c r="F186" s="32" t="n">
        <v>12</v>
      </c>
      <c r="G186" s="25" t="n">
        <v>75</v>
      </c>
      <c r="H186" s="26" t="n">
        <v>1</v>
      </c>
      <c r="I186" s="26" t="s">
        <v>53</v>
      </c>
      <c r="J186" s="26" t="n">
        <f aca="false">IF(I186="tl", 0, 1)</f>
        <v>0</v>
      </c>
      <c r="K186" s="26" t="s">
        <v>53</v>
      </c>
      <c r="L186" s="26" t="n">
        <f aca="false">IF(K186="tl", 0, 1)</f>
        <v>0</v>
      </c>
      <c r="M186" s="26" t="s">
        <v>53</v>
      </c>
      <c r="N186" s="26" t="n">
        <f aca="false">IF(M186="tl", 0, 1)</f>
        <v>0</v>
      </c>
      <c r="O186" s="26"/>
      <c r="P186" s="23" t="n">
        <v>0</v>
      </c>
      <c r="Q186" s="23"/>
      <c r="R186" s="2" t="n">
        <f aca="false">IF(S186=C186, 1, 0)</f>
        <v>1</v>
      </c>
      <c r="S186" s="27" t="s">
        <v>140</v>
      </c>
      <c r="T186" s="27" t="n">
        <v>128</v>
      </c>
      <c r="U186" s="27" t="n">
        <v>2113</v>
      </c>
      <c r="V186" s="3" t="s">
        <v>54</v>
      </c>
      <c r="W186" s="30" t="n">
        <v>1E+020</v>
      </c>
      <c r="X186" s="3" t="n">
        <v>9.14286</v>
      </c>
      <c r="Y186" s="3" t="n">
        <v>1800</v>
      </c>
      <c r="Z186" s="3" t="n">
        <v>89.5126</v>
      </c>
      <c r="AA186" s="3" t="n">
        <v>4738</v>
      </c>
      <c r="AB186" s="3" t="n">
        <v>7</v>
      </c>
      <c r="AC186" s="3" t="n">
        <v>8580</v>
      </c>
      <c r="AD186" s="3" t="n">
        <v>14920</v>
      </c>
      <c r="AE186" s="3" t="n">
        <v>14</v>
      </c>
      <c r="AF186" s="3" t="n">
        <v>0</v>
      </c>
      <c r="AG186" s="3" t="n">
        <v>5</v>
      </c>
      <c r="AH186" s="3" t="n">
        <v>9.14286</v>
      </c>
      <c r="AI186" s="30" t="n">
        <v>1E+020</v>
      </c>
      <c r="AJ186" s="2" t="n">
        <f aca="false">IF(V186="Optimal", 1, 0)</f>
        <v>0</v>
      </c>
      <c r="AK186" s="29" t="b">
        <f aca="false">IF(AJ186=1, W186-G186)</f>
        <v>0</v>
      </c>
      <c r="AL186" s="4" t="n">
        <f aca="false">IF(AND(AH186&lt;&gt;-1, G186&lt;&gt;"-", G186&lt;&gt;"."), ((G186-AH186)/G186)*100, -1)</f>
        <v>87.80952</v>
      </c>
      <c r="AN186" s="5" t="n">
        <f aca="false">IF(AND(AO186=C186, A186=AP186), 1, 0)</f>
        <v>1</v>
      </c>
      <c r="AO186" s="5" t="s">
        <v>140</v>
      </c>
      <c r="AP186" s="5" t="n">
        <v>10</v>
      </c>
      <c r="AQ186" s="5" t="n">
        <v>3600</v>
      </c>
      <c r="AR186" s="5" t="n">
        <v>128</v>
      </c>
      <c r="AS186" s="5" t="n">
        <v>2113</v>
      </c>
      <c r="AT186" s="28" t="n">
        <v>3600</v>
      </c>
      <c r="AU186" s="28" t="s">
        <v>54</v>
      </c>
      <c r="AV186" s="28" t="n">
        <v>122.873</v>
      </c>
      <c r="AW186" s="28" t="n">
        <v>45</v>
      </c>
      <c r="AX186" s="28" t="n">
        <v>83</v>
      </c>
      <c r="AY186" s="28" t="n">
        <v>1189</v>
      </c>
      <c r="AZ186" s="28" t="n">
        <v>23413</v>
      </c>
      <c r="BA186" s="28" t="n">
        <v>977</v>
      </c>
      <c r="BB186" s="6" t="n">
        <f aca="false">IF(AU186="Optimal", 1, 0)</f>
        <v>0</v>
      </c>
    </row>
    <row r="187" customFormat="false" ht="12.8" hidden="false" customHeight="false" outlineLevel="0" collapsed="false">
      <c r="A187" s="1" t="n">
        <v>10</v>
      </c>
      <c r="B187" s="23" t="s">
        <v>49</v>
      </c>
      <c r="C187" s="24" t="s">
        <v>141</v>
      </c>
      <c r="D187" s="32" t="n">
        <v>100</v>
      </c>
      <c r="E187" s="32" t="n">
        <v>166</v>
      </c>
      <c r="F187" s="32" t="n">
        <v>33</v>
      </c>
      <c r="G187" s="25" t="n">
        <v>10</v>
      </c>
      <c r="H187" s="26" t="n">
        <v>1</v>
      </c>
      <c r="I187" s="26" t="s">
        <v>53</v>
      </c>
      <c r="J187" s="26" t="n">
        <f aca="false">IF(I187="tl", 0, 1)</f>
        <v>0</v>
      </c>
      <c r="K187" s="26" t="n">
        <v>27.89</v>
      </c>
      <c r="L187" s="26" t="n">
        <f aca="false">IF(K187="tl", 0, 1)</f>
        <v>1</v>
      </c>
      <c r="M187" s="26" t="n">
        <v>8.34</v>
      </c>
      <c r="N187" s="26" t="n">
        <f aca="false">IF(M187="tl", 0, 1)</f>
        <v>1</v>
      </c>
      <c r="O187" s="26"/>
      <c r="P187" s="23" t="n">
        <v>0</v>
      </c>
      <c r="Q187" s="23"/>
      <c r="R187" s="2" t="n">
        <f aca="false">IF(S187=C187, 1, 0)</f>
        <v>1</v>
      </c>
      <c r="S187" s="27" t="s">
        <v>141</v>
      </c>
      <c r="T187" s="27" t="n">
        <v>100</v>
      </c>
      <c r="U187" s="27" t="n">
        <v>166</v>
      </c>
      <c r="V187" s="3" t="s">
        <v>51</v>
      </c>
      <c r="W187" s="30" t="n">
        <v>10</v>
      </c>
      <c r="X187" s="3" t="n">
        <v>10</v>
      </c>
      <c r="Y187" s="3" t="n">
        <v>5.7607</v>
      </c>
      <c r="Z187" s="3" t="n">
        <v>4.30274</v>
      </c>
      <c r="AA187" s="3" t="n">
        <v>365</v>
      </c>
      <c r="AB187" s="3" t="n">
        <v>9</v>
      </c>
      <c r="AC187" s="3" t="n">
        <v>764</v>
      </c>
      <c r="AD187" s="3" t="n">
        <v>1263</v>
      </c>
      <c r="AE187" s="3" t="n">
        <v>90</v>
      </c>
      <c r="AF187" s="3" t="n">
        <v>0</v>
      </c>
      <c r="AG187" s="3" t="n">
        <v>3</v>
      </c>
      <c r="AH187" s="3" t="n">
        <v>9</v>
      </c>
      <c r="AI187" s="30" t="n">
        <v>10</v>
      </c>
      <c r="AJ187" s="2" t="n">
        <f aca="false">IF(V187="Optimal", 1, 0)</f>
        <v>1</v>
      </c>
      <c r="AK187" s="3" t="n">
        <f aca="false">IF(AJ187=1, W187-G187)</f>
        <v>0</v>
      </c>
      <c r="AL187" s="4" t="n">
        <f aca="false">IF(AND(AH187&lt;&gt;-1, G187&lt;&gt;"-", G187&lt;&gt;"."), ((G187-AH187)/G187)*100, -1)</f>
        <v>10</v>
      </c>
      <c r="AN187" s="5" t="n">
        <f aca="false">IF(AND(AO187=C187, A187=AP187), 1, 0)</f>
        <v>1</v>
      </c>
      <c r="AO187" s="5" t="s">
        <v>141</v>
      </c>
      <c r="AP187" s="5" t="n">
        <v>10</v>
      </c>
      <c r="AQ187" s="5" t="n">
        <v>3600</v>
      </c>
      <c r="AR187" s="5" t="n">
        <v>100</v>
      </c>
      <c r="AS187" s="5" t="n">
        <v>166</v>
      </c>
      <c r="AT187" s="28" t="n">
        <v>3600</v>
      </c>
      <c r="AU187" s="28" t="s">
        <v>54</v>
      </c>
      <c r="AV187" s="28" t="n">
        <v>97.291</v>
      </c>
      <c r="AW187" s="28" t="n">
        <v>89</v>
      </c>
      <c r="AX187" s="28" t="n">
        <v>11</v>
      </c>
      <c r="AY187" s="28" t="n">
        <v>902</v>
      </c>
      <c r="AZ187" s="28" t="n">
        <v>1992</v>
      </c>
      <c r="BA187" s="28" t="n">
        <v>19712</v>
      </c>
      <c r="BB187" s="6" t="n">
        <f aca="false">IF(AU187="Optimal", 1, 0)</f>
        <v>0</v>
      </c>
    </row>
    <row r="188" customFormat="false" ht="12.8" hidden="false" customHeight="false" outlineLevel="0" collapsed="false">
      <c r="A188" s="1" t="n">
        <v>10</v>
      </c>
      <c r="B188" s="23" t="s">
        <v>49</v>
      </c>
      <c r="C188" s="24" t="s">
        <v>142</v>
      </c>
      <c r="D188" s="32" t="n">
        <v>100</v>
      </c>
      <c r="E188" s="32" t="n">
        <v>166</v>
      </c>
      <c r="F188" s="32" t="n">
        <v>33</v>
      </c>
      <c r="G188" s="25" t="n">
        <v>10</v>
      </c>
      <c r="H188" s="26" t="n">
        <v>1</v>
      </c>
      <c r="I188" s="26" t="s">
        <v>53</v>
      </c>
      <c r="J188" s="26" t="n">
        <f aca="false">IF(I188="tl", 0, 1)</f>
        <v>0</v>
      </c>
      <c r="K188" s="26" t="n">
        <v>23.9</v>
      </c>
      <c r="L188" s="26" t="n">
        <f aca="false">IF(K188="tl", 0, 1)</f>
        <v>1</v>
      </c>
      <c r="M188" s="26" t="n">
        <v>8.65</v>
      </c>
      <c r="N188" s="26" t="n">
        <f aca="false">IF(M188="tl", 0, 1)</f>
        <v>1</v>
      </c>
      <c r="O188" s="26"/>
      <c r="P188" s="23" t="n">
        <v>0</v>
      </c>
      <c r="Q188" s="23"/>
      <c r="R188" s="2" t="n">
        <f aca="false">IF(S188=C188, 1, 0)</f>
        <v>1</v>
      </c>
      <c r="S188" s="27" t="s">
        <v>142</v>
      </c>
      <c r="T188" s="27" t="n">
        <v>100</v>
      </c>
      <c r="U188" s="27" t="n">
        <v>166</v>
      </c>
      <c r="V188" s="3" t="s">
        <v>51</v>
      </c>
      <c r="W188" s="3" t="n">
        <v>10</v>
      </c>
      <c r="X188" s="3" t="n">
        <v>10</v>
      </c>
      <c r="Y188" s="3" t="n">
        <v>5.89922</v>
      </c>
      <c r="Z188" s="3" t="n">
        <v>4.13074</v>
      </c>
      <c r="AA188" s="3" t="n">
        <v>403</v>
      </c>
      <c r="AB188" s="3" t="n">
        <v>4</v>
      </c>
      <c r="AC188" s="3" t="n">
        <v>764</v>
      </c>
      <c r="AD188" s="3" t="n">
        <v>1263</v>
      </c>
      <c r="AE188" s="3" t="n">
        <v>126</v>
      </c>
      <c r="AF188" s="3" t="n">
        <v>0</v>
      </c>
      <c r="AG188" s="3" t="n">
        <v>2</v>
      </c>
      <c r="AH188" s="3" t="n">
        <v>8.84746</v>
      </c>
      <c r="AI188" s="3" t="n">
        <v>11</v>
      </c>
      <c r="AJ188" s="2" t="n">
        <f aca="false">IF(V188="Optimal", 1, 0)</f>
        <v>1</v>
      </c>
      <c r="AK188" s="3" t="n">
        <f aca="false">IF(AJ188=1, W188-G188)</f>
        <v>0</v>
      </c>
      <c r="AL188" s="4" t="n">
        <f aca="false">IF(AND(AH188&lt;&gt;-1, G188&lt;&gt;"-", G188&lt;&gt;"."), ((G188-AH188)/G188)*100, -1)</f>
        <v>11.5254</v>
      </c>
      <c r="AN188" s="5" t="n">
        <f aca="false">IF(AND(AO188=C188, A188=AP188), 1, 0)</f>
        <v>1</v>
      </c>
      <c r="AO188" s="5" t="s">
        <v>142</v>
      </c>
      <c r="AP188" s="5" t="n">
        <v>10</v>
      </c>
      <c r="AQ188" s="5" t="n">
        <v>3600</v>
      </c>
      <c r="AR188" s="5" t="n">
        <v>100</v>
      </c>
      <c r="AS188" s="5" t="n">
        <v>166</v>
      </c>
      <c r="AT188" s="28" t="n">
        <v>3600</v>
      </c>
      <c r="AU188" s="28" t="s">
        <v>54</v>
      </c>
      <c r="AV188" s="28" t="n">
        <v>97.525</v>
      </c>
      <c r="AW188" s="28" t="n">
        <v>90</v>
      </c>
      <c r="AX188" s="28" t="n">
        <v>10</v>
      </c>
      <c r="AY188" s="28" t="n">
        <v>913</v>
      </c>
      <c r="AZ188" s="28" t="n">
        <v>1737</v>
      </c>
      <c r="BA188" s="28" t="n">
        <v>24994</v>
      </c>
      <c r="BB188" s="6" t="n">
        <f aca="false">IF(AU188="Optimal", 1, 0)</f>
        <v>0</v>
      </c>
    </row>
    <row r="189" customFormat="false" ht="12.8" hidden="false" customHeight="false" outlineLevel="0" collapsed="false">
      <c r="A189" s="1" t="n">
        <v>10</v>
      </c>
      <c r="B189" s="23" t="s">
        <v>49</v>
      </c>
      <c r="C189" s="24" t="s">
        <v>143</v>
      </c>
      <c r="D189" s="32" t="n">
        <v>88</v>
      </c>
      <c r="E189" s="32" t="n">
        <v>146</v>
      </c>
      <c r="F189" s="32" t="n">
        <v>29</v>
      </c>
      <c r="G189" s="25" t="n">
        <v>9</v>
      </c>
      <c r="H189" s="26" t="n">
        <v>1</v>
      </c>
      <c r="I189" s="26" t="s">
        <v>53</v>
      </c>
      <c r="J189" s="26" t="n">
        <f aca="false">IF(I189="tl", 0, 1)</f>
        <v>0</v>
      </c>
      <c r="K189" s="26" t="n">
        <v>27.61</v>
      </c>
      <c r="L189" s="26" t="n">
        <f aca="false">IF(K189="tl", 0, 1)</f>
        <v>1</v>
      </c>
      <c r="M189" s="26" t="n">
        <v>2.37</v>
      </c>
      <c r="N189" s="26" t="n">
        <f aca="false">IF(M189="tl", 0, 1)</f>
        <v>1</v>
      </c>
      <c r="O189" s="26"/>
      <c r="P189" s="23" t="n">
        <v>0</v>
      </c>
      <c r="Q189" s="23"/>
      <c r="R189" s="2" t="n">
        <f aca="false">IF(S189=C189, 1, 0)</f>
        <v>1</v>
      </c>
      <c r="S189" s="27" t="s">
        <v>143</v>
      </c>
      <c r="T189" s="27" t="n">
        <v>88</v>
      </c>
      <c r="U189" s="27" t="n">
        <v>146</v>
      </c>
      <c r="V189" s="3" t="s">
        <v>51</v>
      </c>
      <c r="W189" s="3" t="n">
        <v>9</v>
      </c>
      <c r="X189" s="3" t="n">
        <v>9</v>
      </c>
      <c r="Y189" s="3" t="n">
        <v>2.49347</v>
      </c>
      <c r="Z189" s="3" t="n">
        <v>2.0836</v>
      </c>
      <c r="AA189" s="3" t="n">
        <v>327</v>
      </c>
      <c r="AB189" s="3" t="n">
        <v>1</v>
      </c>
      <c r="AC189" s="3" t="n">
        <v>672</v>
      </c>
      <c r="AD189" s="3" t="n">
        <v>1111</v>
      </c>
      <c r="AE189" s="3" t="n">
        <v>93</v>
      </c>
      <c r="AF189" s="3" t="n">
        <v>0</v>
      </c>
      <c r="AG189" s="3" t="n">
        <v>0</v>
      </c>
      <c r="AH189" s="3" t="n">
        <v>-1</v>
      </c>
      <c r="AI189" s="3" t="n">
        <v>-1</v>
      </c>
      <c r="AJ189" s="2" t="n">
        <f aca="false">IF(V189="Optimal", 1, 0)</f>
        <v>1</v>
      </c>
      <c r="AK189" s="3" t="n">
        <f aca="false">IF(AJ189=1, W189-G189)</f>
        <v>0</v>
      </c>
      <c r="AL189" s="4" t="n">
        <f aca="false">IF(AND(AH189&lt;&gt;-1, G189&lt;&gt;"-", G189&lt;&gt;"."), ((G189-AH189)/G189)*100, -1)</f>
        <v>-1</v>
      </c>
      <c r="AN189" s="5" t="n">
        <f aca="false">IF(AND(AO189=C189, A189=AP189), 1, 0)</f>
        <v>1</v>
      </c>
      <c r="AO189" s="5" t="s">
        <v>143</v>
      </c>
      <c r="AP189" s="5" t="n">
        <v>10</v>
      </c>
      <c r="AQ189" s="5" t="n">
        <v>3600</v>
      </c>
      <c r="AR189" s="5" t="n">
        <v>88</v>
      </c>
      <c r="AS189" s="5" t="n">
        <v>146</v>
      </c>
      <c r="AT189" s="28" t="n">
        <v>3600</v>
      </c>
      <c r="AU189" s="28" t="s">
        <v>54</v>
      </c>
      <c r="AV189" s="28" t="n">
        <v>84.7365</v>
      </c>
      <c r="AW189" s="28" t="n">
        <v>77</v>
      </c>
      <c r="AX189" s="28" t="n">
        <v>11</v>
      </c>
      <c r="AY189" s="28" t="n">
        <v>815</v>
      </c>
      <c r="AZ189" s="28" t="n">
        <v>2023</v>
      </c>
      <c r="BA189" s="28" t="n">
        <v>37550</v>
      </c>
      <c r="BB189" s="6" t="n">
        <f aca="false">IF(AU189="Optimal", 1, 0)</f>
        <v>0</v>
      </c>
    </row>
    <row r="190" customFormat="false" ht="12.8" hidden="false" customHeight="false" outlineLevel="0" collapsed="false">
      <c r="A190" s="1" t="n">
        <v>10</v>
      </c>
      <c r="B190" s="23" t="s">
        <v>49</v>
      </c>
      <c r="C190" s="24" t="s">
        <v>144</v>
      </c>
      <c r="D190" s="32" t="n">
        <v>88</v>
      </c>
      <c r="E190" s="32" t="n">
        <v>146</v>
      </c>
      <c r="F190" s="32" t="n">
        <v>29</v>
      </c>
      <c r="G190" s="25" t="n">
        <v>9</v>
      </c>
      <c r="H190" s="26" t="n">
        <v>1</v>
      </c>
      <c r="I190" s="26" t="s">
        <v>53</v>
      </c>
      <c r="J190" s="26" t="n">
        <f aca="false">IF(I190="tl", 0, 1)</f>
        <v>0</v>
      </c>
      <c r="K190" s="26" t="n">
        <v>27.29</v>
      </c>
      <c r="L190" s="26" t="n">
        <f aca="false">IF(K190="tl", 0, 1)</f>
        <v>1</v>
      </c>
      <c r="M190" s="26" t="n">
        <v>2.15</v>
      </c>
      <c r="N190" s="26" t="n">
        <f aca="false">IF(M190="tl", 0, 1)</f>
        <v>1</v>
      </c>
      <c r="O190" s="26"/>
      <c r="P190" s="23" t="n">
        <v>0</v>
      </c>
      <c r="Q190" s="23"/>
      <c r="R190" s="2" t="n">
        <f aca="false">IF(S190=C190, 1, 0)</f>
        <v>1</v>
      </c>
      <c r="S190" s="27" t="s">
        <v>144</v>
      </c>
      <c r="T190" s="27" t="n">
        <v>88</v>
      </c>
      <c r="U190" s="27" t="n">
        <v>146</v>
      </c>
      <c r="V190" s="3" t="s">
        <v>51</v>
      </c>
      <c r="W190" s="3" t="n">
        <v>9</v>
      </c>
      <c r="X190" s="3" t="n">
        <v>9</v>
      </c>
      <c r="Y190" s="3" t="n">
        <v>1.42771</v>
      </c>
      <c r="Z190" s="3" t="n">
        <v>1.04008</v>
      </c>
      <c r="AA190" s="3" t="n">
        <v>330</v>
      </c>
      <c r="AB190" s="3" t="n">
        <v>1</v>
      </c>
      <c r="AC190" s="3" t="n">
        <v>672</v>
      </c>
      <c r="AD190" s="3" t="n">
        <v>1111</v>
      </c>
      <c r="AE190" s="3" t="n">
        <v>96</v>
      </c>
      <c r="AF190" s="3" t="n">
        <v>0</v>
      </c>
      <c r="AG190" s="3" t="n">
        <v>0</v>
      </c>
      <c r="AH190" s="3" t="n">
        <v>-1</v>
      </c>
      <c r="AI190" s="3" t="n">
        <v>-1</v>
      </c>
      <c r="AJ190" s="2" t="n">
        <f aca="false">IF(V190="Optimal", 1, 0)</f>
        <v>1</v>
      </c>
      <c r="AK190" s="3" t="n">
        <f aca="false">IF(AJ190=1, W190-G190)</f>
        <v>0</v>
      </c>
      <c r="AL190" s="4" t="n">
        <f aca="false">IF(AND(AH190&lt;&gt;-1, G190&lt;&gt;"-", G190&lt;&gt;"."), ((G190-AH190)/G190)*100, -1)</f>
        <v>-1</v>
      </c>
      <c r="AN190" s="5" t="n">
        <f aca="false">IF(AND(AO190=C190, A190=AP190), 1, 0)</f>
        <v>1</v>
      </c>
      <c r="AO190" s="5" t="s">
        <v>144</v>
      </c>
      <c r="AP190" s="5" t="n">
        <v>10</v>
      </c>
      <c r="AQ190" s="5" t="n">
        <v>3600</v>
      </c>
      <c r="AR190" s="5" t="n">
        <v>88</v>
      </c>
      <c r="AS190" s="5" t="n">
        <v>146</v>
      </c>
      <c r="AT190" s="28" t="n">
        <v>3600</v>
      </c>
      <c r="AU190" s="28" t="s">
        <v>54</v>
      </c>
      <c r="AV190" s="28" t="n">
        <v>84.927</v>
      </c>
      <c r="AW190" s="28" t="n">
        <v>78</v>
      </c>
      <c r="AX190" s="28" t="n">
        <v>10</v>
      </c>
      <c r="AY190" s="28" t="n">
        <v>834</v>
      </c>
      <c r="AZ190" s="28" t="n">
        <v>2123</v>
      </c>
      <c r="BA190" s="28" t="n">
        <v>51213</v>
      </c>
      <c r="BB190" s="6" t="n">
        <f aca="false">IF(AU190="Optimal", 1, 0)</f>
        <v>0</v>
      </c>
    </row>
    <row r="191" customFormat="false" ht="12.8" hidden="false" customHeight="false" outlineLevel="0" collapsed="false">
      <c r="A191" s="1" t="n">
        <v>10</v>
      </c>
      <c r="B191" s="23" t="s">
        <v>49</v>
      </c>
      <c r="C191" s="24" t="s">
        <v>145</v>
      </c>
      <c r="D191" s="32" t="n">
        <v>188</v>
      </c>
      <c r="E191" s="32" t="n">
        <v>3885</v>
      </c>
      <c r="F191" s="32" t="n">
        <v>90</v>
      </c>
      <c r="G191" s="25" t="s">
        <v>86</v>
      </c>
      <c r="H191" s="26" t="n">
        <v>1</v>
      </c>
      <c r="I191" s="25" t="s">
        <v>86</v>
      </c>
      <c r="J191" s="26" t="n">
        <f aca="false">IF(I191="tl", 0, 1)</f>
        <v>1</v>
      </c>
      <c r="K191" s="25" t="s">
        <v>86</v>
      </c>
      <c r="L191" s="26" t="n">
        <f aca="false">IF(K191="tl", 0, 1)</f>
        <v>1</v>
      </c>
      <c r="M191" s="25" t="s">
        <v>86</v>
      </c>
      <c r="N191" s="26" t="n">
        <f aca="false">IF(M191="tl", 0, 1)</f>
        <v>1</v>
      </c>
      <c r="O191" s="26"/>
      <c r="P191" s="23" t="n">
        <v>0</v>
      </c>
      <c r="Q191" s="23"/>
      <c r="R191" s="2" t="n">
        <f aca="false">IF(S191=C191, 1, 0)</f>
        <v>1</v>
      </c>
      <c r="S191" s="27" t="s">
        <v>145</v>
      </c>
      <c r="T191" s="27" t="n">
        <v>188</v>
      </c>
      <c r="U191" s="27" t="n">
        <v>3885</v>
      </c>
      <c r="V191" s="3" t="s">
        <v>51</v>
      </c>
      <c r="W191" s="3" t="n">
        <v>0</v>
      </c>
      <c r="X191" s="3" t="n">
        <v>0</v>
      </c>
      <c r="Y191" s="3" t="n">
        <v>52.2549</v>
      </c>
      <c r="Z191" s="3" t="n">
        <v>0.883384</v>
      </c>
      <c r="AA191" s="3" t="n">
        <v>4074</v>
      </c>
      <c r="AB191" s="3" t="n">
        <v>1</v>
      </c>
      <c r="AC191" s="3" t="n">
        <v>15728</v>
      </c>
      <c r="AD191" s="3" t="n">
        <v>27384</v>
      </c>
      <c r="AE191" s="3" t="n">
        <v>1</v>
      </c>
      <c r="AF191" s="3" t="n">
        <v>0</v>
      </c>
      <c r="AG191" s="3" t="n">
        <v>0</v>
      </c>
      <c r="AH191" s="3" t="n">
        <v>-1</v>
      </c>
      <c r="AI191" s="30" t="n">
        <v>-1</v>
      </c>
      <c r="AJ191" s="2" t="n">
        <f aca="false">IF(V191="Optimal", 1, 0)</f>
        <v>1</v>
      </c>
      <c r="AK191" s="3" t="e">
        <f aca="false">IF(AJ191=1, W191-G191)</f>
        <v>#VALUE!</v>
      </c>
      <c r="AL191" s="4" t="n">
        <f aca="false">IF(AND(AH191&lt;&gt;-1, G191&lt;&gt;"-", G191&lt;&gt;"."), ((G191-AH191)/G191)*100, -1)</f>
        <v>-1</v>
      </c>
      <c r="AN191" s="5" t="n">
        <f aca="false">IF(AND(AO191=C191, A191=AP191), 1, 0)</f>
        <v>1</v>
      </c>
      <c r="AO191" s="5" t="s">
        <v>145</v>
      </c>
      <c r="AP191" s="5" t="n">
        <v>10</v>
      </c>
      <c r="AQ191" s="5" t="n">
        <v>3600</v>
      </c>
      <c r="AR191" s="5" t="n">
        <v>188</v>
      </c>
      <c r="AS191" s="5" t="n">
        <v>3885</v>
      </c>
      <c r="AT191" s="28" t="n">
        <v>45.913</v>
      </c>
      <c r="AU191" s="28" t="s">
        <v>51</v>
      </c>
      <c r="AV191" s="28" t="n">
        <v>188</v>
      </c>
      <c r="AW191" s="28" t="n">
        <v>188</v>
      </c>
      <c r="AX191" s="28" t="n">
        <v>0</v>
      </c>
      <c r="AY191" s="28" t="n">
        <v>1880</v>
      </c>
      <c r="AZ191" s="28" t="n">
        <v>39056</v>
      </c>
      <c r="BA191" s="28" t="n">
        <v>1</v>
      </c>
      <c r="BB191" s="6" t="n">
        <f aca="false">IF(AU191="Optimal", 1, 0)</f>
        <v>1</v>
      </c>
    </row>
    <row r="192" customFormat="false" ht="12.8" hidden="false" customHeight="false" outlineLevel="0" collapsed="false">
      <c r="A192" s="1" t="n">
        <v>10</v>
      </c>
      <c r="B192" s="23" t="s">
        <v>49</v>
      </c>
      <c r="C192" s="24" t="s">
        <v>146</v>
      </c>
      <c r="D192" s="32" t="n">
        <v>184</v>
      </c>
      <c r="E192" s="32" t="n">
        <v>3916</v>
      </c>
      <c r="F192" s="32" t="n">
        <v>86</v>
      </c>
      <c r="G192" s="25" t="s">
        <v>86</v>
      </c>
      <c r="H192" s="26" t="n">
        <v>1</v>
      </c>
      <c r="I192" s="25" t="s">
        <v>86</v>
      </c>
      <c r="J192" s="26" t="n">
        <f aca="false">IF(I192="tl", 0, 1)</f>
        <v>1</v>
      </c>
      <c r="K192" s="25" t="s">
        <v>86</v>
      </c>
      <c r="L192" s="26" t="n">
        <f aca="false">IF(K192="tl", 0, 1)</f>
        <v>1</v>
      </c>
      <c r="M192" s="25" t="s">
        <v>86</v>
      </c>
      <c r="N192" s="26" t="n">
        <f aca="false">IF(M192="tl", 0, 1)</f>
        <v>1</v>
      </c>
      <c r="O192" s="26"/>
      <c r="P192" s="23" t="n">
        <v>0</v>
      </c>
      <c r="Q192" s="23"/>
      <c r="R192" s="2" t="n">
        <f aca="false">IF(S192=C192, 1, 0)</f>
        <v>1</v>
      </c>
      <c r="S192" s="27" t="s">
        <v>146</v>
      </c>
      <c r="T192" s="27" t="n">
        <v>184</v>
      </c>
      <c r="U192" s="27" t="n">
        <v>3916</v>
      </c>
      <c r="V192" s="3" t="s">
        <v>51</v>
      </c>
      <c r="W192" s="30" t="n">
        <v>0</v>
      </c>
      <c r="X192" s="3" t="n">
        <v>0</v>
      </c>
      <c r="Y192" s="3" t="n">
        <v>50.1147</v>
      </c>
      <c r="Z192" s="3" t="n">
        <v>0.858847</v>
      </c>
      <c r="AA192" s="3" t="n">
        <v>4101</v>
      </c>
      <c r="AB192" s="3" t="n">
        <v>1</v>
      </c>
      <c r="AC192" s="3" t="n">
        <v>15848</v>
      </c>
      <c r="AD192" s="3" t="n">
        <v>27597</v>
      </c>
      <c r="AE192" s="3" t="n">
        <v>1</v>
      </c>
      <c r="AF192" s="3" t="n">
        <v>0</v>
      </c>
      <c r="AG192" s="3" t="n">
        <v>0</v>
      </c>
      <c r="AH192" s="3" t="n">
        <v>-1</v>
      </c>
      <c r="AI192" s="3" t="n">
        <v>-1</v>
      </c>
      <c r="AJ192" s="2" t="n">
        <f aca="false">IF(V192="Optimal", 1, 0)</f>
        <v>1</v>
      </c>
      <c r="AK192" s="3" t="e">
        <f aca="false">IF(AJ192=1, W192-G192)</f>
        <v>#VALUE!</v>
      </c>
      <c r="AL192" s="4" t="n">
        <f aca="false">IF(AND(AH192&lt;&gt;-1, G192&lt;&gt;"-", G192&lt;&gt;"."), ((G192-AH192)/G192)*100, -1)</f>
        <v>-1</v>
      </c>
      <c r="AN192" s="5" t="n">
        <f aca="false">IF(AND(AO192=C192, A192=AP192), 1, 0)</f>
        <v>1</v>
      </c>
      <c r="AO192" s="5" t="s">
        <v>146</v>
      </c>
      <c r="AP192" s="5" t="n">
        <v>10</v>
      </c>
      <c r="AQ192" s="5" t="n">
        <v>3600</v>
      </c>
      <c r="AR192" s="5" t="n">
        <v>184</v>
      </c>
      <c r="AS192" s="5" t="n">
        <v>3916</v>
      </c>
      <c r="AT192" s="28" t="n">
        <v>42.8845</v>
      </c>
      <c r="AU192" s="28" t="s">
        <v>51</v>
      </c>
      <c r="AV192" s="28" t="n">
        <v>184</v>
      </c>
      <c r="AW192" s="28" t="n">
        <v>184</v>
      </c>
      <c r="AX192" s="28" t="n">
        <v>0</v>
      </c>
      <c r="AY192" s="28" t="n">
        <v>1840</v>
      </c>
      <c r="AZ192" s="28" t="n">
        <v>39362</v>
      </c>
      <c r="BA192" s="28" t="n">
        <v>1</v>
      </c>
      <c r="BB192" s="6" t="n">
        <f aca="false">IF(AU192="Optimal", 1, 0)</f>
        <v>1</v>
      </c>
    </row>
    <row r="193" customFormat="false" ht="12.8" hidden="false" customHeight="false" outlineLevel="0" collapsed="false">
      <c r="A193" s="1" t="n">
        <v>10</v>
      </c>
      <c r="B193" s="23" t="s">
        <v>49</v>
      </c>
      <c r="C193" s="24" t="s">
        <v>147</v>
      </c>
      <c r="D193" s="32" t="n">
        <v>185</v>
      </c>
      <c r="E193" s="32" t="n">
        <v>3946</v>
      </c>
      <c r="F193" s="32" t="n">
        <v>86</v>
      </c>
      <c r="G193" s="25" t="s">
        <v>86</v>
      </c>
      <c r="H193" s="26" t="n">
        <v>1</v>
      </c>
      <c r="I193" s="25" t="s">
        <v>86</v>
      </c>
      <c r="J193" s="26" t="n">
        <f aca="false">IF(I193="tl", 0, 1)</f>
        <v>1</v>
      </c>
      <c r="K193" s="25" t="s">
        <v>86</v>
      </c>
      <c r="L193" s="26" t="n">
        <f aca="false">IF(K193="tl", 0, 1)</f>
        <v>1</v>
      </c>
      <c r="M193" s="25" t="s">
        <v>86</v>
      </c>
      <c r="N193" s="26" t="n">
        <f aca="false">IF(M193="tl", 0, 1)</f>
        <v>1</v>
      </c>
      <c r="O193" s="26"/>
      <c r="P193" s="23" t="n">
        <v>0</v>
      </c>
      <c r="Q193" s="23"/>
      <c r="R193" s="2" t="n">
        <f aca="false">IF(S193=C193, 1, 0)</f>
        <v>1</v>
      </c>
      <c r="S193" s="27" t="s">
        <v>147</v>
      </c>
      <c r="T193" s="27" t="n">
        <v>185</v>
      </c>
      <c r="U193" s="27" t="n">
        <v>3946</v>
      </c>
      <c r="V193" s="3" t="s">
        <v>51</v>
      </c>
      <c r="W193" s="30" t="n">
        <v>0</v>
      </c>
      <c r="X193" s="3" t="n">
        <v>0</v>
      </c>
      <c r="Y193" s="3" t="n">
        <v>56.024</v>
      </c>
      <c r="Z193" s="3" t="n">
        <v>0.879486</v>
      </c>
      <c r="AA193" s="3" t="n">
        <v>4132</v>
      </c>
      <c r="AB193" s="3" t="n">
        <v>1</v>
      </c>
      <c r="AC193" s="3" t="n">
        <v>15969</v>
      </c>
      <c r="AD193" s="3" t="n">
        <v>27808</v>
      </c>
      <c r="AE193" s="3" t="n">
        <v>1</v>
      </c>
      <c r="AF193" s="3" t="n">
        <v>0</v>
      </c>
      <c r="AG193" s="3" t="n">
        <v>0</v>
      </c>
      <c r="AH193" s="3" t="n">
        <v>-1</v>
      </c>
      <c r="AI193" s="3" t="n">
        <v>-1</v>
      </c>
      <c r="AJ193" s="2" t="n">
        <f aca="false">IF(V193="Optimal", 1, 0)</f>
        <v>1</v>
      </c>
      <c r="AK193" s="3" t="e">
        <f aca="false">IF(AJ193=1, W193-G193)</f>
        <v>#VALUE!</v>
      </c>
      <c r="AL193" s="4" t="n">
        <f aca="false">IF(AND(AH193&lt;&gt;-1, G193&lt;&gt;"-", G193&lt;&gt;"."), ((G193-AH193)/G193)*100, -1)</f>
        <v>-1</v>
      </c>
      <c r="AN193" s="5" t="n">
        <f aca="false">IF(AND(AO193=C193, A193=AP193), 1, 0)</f>
        <v>1</v>
      </c>
      <c r="AO193" s="5" t="s">
        <v>147</v>
      </c>
      <c r="AP193" s="5" t="n">
        <v>10</v>
      </c>
      <c r="AQ193" s="5" t="n">
        <v>3600</v>
      </c>
      <c r="AR193" s="5" t="n">
        <v>185</v>
      </c>
      <c r="AS193" s="5" t="n">
        <v>3946</v>
      </c>
      <c r="AT193" s="28" t="n">
        <v>29.8081</v>
      </c>
      <c r="AU193" s="28" t="s">
        <v>51</v>
      </c>
      <c r="AV193" s="28" t="n">
        <v>185</v>
      </c>
      <c r="AW193" s="28" t="n">
        <v>185</v>
      </c>
      <c r="AX193" s="28" t="n">
        <v>0</v>
      </c>
      <c r="AY193" s="28" t="n">
        <v>1850</v>
      </c>
      <c r="AZ193" s="28" t="n">
        <v>39663</v>
      </c>
      <c r="BA193" s="28" t="n">
        <v>1</v>
      </c>
      <c r="BB193" s="6" t="n">
        <f aca="false">IF(AU193="Optimal", 1, 0)</f>
        <v>1</v>
      </c>
    </row>
    <row r="194" customFormat="false" ht="12.8" hidden="false" customHeight="false" outlineLevel="0" collapsed="false">
      <c r="A194" s="1" t="n">
        <v>10</v>
      </c>
      <c r="B194" s="23" t="s">
        <v>49</v>
      </c>
      <c r="C194" s="24" t="s">
        <v>148</v>
      </c>
      <c r="D194" s="32" t="n">
        <v>186</v>
      </c>
      <c r="E194" s="32" t="n">
        <v>3973</v>
      </c>
      <c r="F194" s="32" t="n">
        <v>88</v>
      </c>
      <c r="G194" s="25" t="s">
        <v>86</v>
      </c>
      <c r="H194" s="26" t="n">
        <v>1</v>
      </c>
      <c r="I194" s="25" t="s">
        <v>86</v>
      </c>
      <c r="J194" s="26" t="n">
        <f aca="false">IF(I194="tl", 0, 1)</f>
        <v>1</v>
      </c>
      <c r="K194" s="25" t="s">
        <v>86</v>
      </c>
      <c r="L194" s="26" t="n">
        <f aca="false">IF(K194="tl", 0, 1)</f>
        <v>1</v>
      </c>
      <c r="M194" s="25" t="s">
        <v>86</v>
      </c>
      <c r="N194" s="26" t="n">
        <f aca="false">IF(M194="tl", 0, 1)</f>
        <v>1</v>
      </c>
      <c r="O194" s="26"/>
      <c r="P194" s="23" t="n">
        <v>0</v>
      </c>
      <c r="Q194" s="23"/>
      <c r="R194" s="2" t="n">
        <f aca="false">IF(S194=C194, 1, 0)</f>
        <v>1</v>
      </c>
      <c r="S194" s="27" t="s">
        <v>148</v>
      </c>
      <c r="T194" s="27" t="n">
        <v>186</v>
      </c>
      <c r="U194" s="27" t="n">
        <v>3973</v>
      </c>
      <c r="V194" s="3" t="s">
        <v>51</v>
      </c>
      <c r="W194" s="3" t="n">
        <v>0</v>
      </c>
      <c r="X194" s="3" t="n">
        <v>0</v>
      </c>
      <c r="Y194" s="3" t="n">
        <v>52.8267</v>
      </c>
      <c r="Z194" s="3" t="n">
        <v>0.898522</v>
      </c>
      <c r="AA194" s="3" t="n">
        <v>4160</v>
      </c>
      <c r="AB194" s="3" t="n">
        <v>1</v>
      </c>
      <c r="AC194" s="3" t="n">
        <v>16078</v>
      </c>
      <c r="AD194" s="3" t="n">
        <v>27998</v>
      </c>
      <c r="AE194" s="3" t="n">
        <v>1</v>
      </c>
      <c r="AF194" s="3" t="n">
        <v>0</v>
      </c>
      <c r="AG194" s="3" t="n">
        <v>0</v>
      </c>
      <c r="AH194" s="3" t="n">
        <v>-1</v>
      </c>
      <c r="AI194" s="3" t="n">
        <v>-1</v>
      </c>
      <c r="AJ194" s="2" t="n">
        <f aca="false">IF(V194="Optimal", 1, 0)</f>
        <v>1</v>
      </c>
      <c r="AK194" s="3" t="e">
        <f aca="false">IF(AJ194=1, W194-G194)</f>
        <v>#VALUE!</v>
      </c>
      <c r="AL194" s="4" t="n">
        <f aca="false">IF(AND(AH194&lt;&gt;-1, G194&lt;&gt;"-", G194&lt;&gt;"."), ((G194-AH194)/G194)*100, -1)</f>
        <v>-1</v>
      </c>
      <c r="AN194" s="5" t="n">
        <f aca="false">IF(AND(AO194=C194, A194=AP194), 1, 0)</f>
        <v>1</v>
      </c>
      <c r="AO194" s="5" t="s">
        <v>148</v>
      </c>
      <c r="AP194" s="5" t="n">
        <v>10</v>
      </c>
      <c r="AQ194" s="5" t="n">
        <v>3600</v>
      </c>
      <c r="AR194" s="5" t="n">
        <v>186</v>
      </c>
      <c r="AS194" s="5" t="n">
        <v>3973</v>
      </c>
      <c r="AT194" s="28" t="n">
        <v>31.1463</v>
      </c>
      <c r="AU194" s="28" t="s">
        <v>51</v>
      </c>
      <c r="AV194" s="28" t="n">
        <v>186</v>
      </c>
      <c r="AW194" s="28" t="n">
        <v>186</v>
      </c>
      <c r="AX194" s="28" t="n">
        <v>0</v>
      </c>
      <c r="AY194" s="28" t="n">
        <v>1860</v>
      </c>
      <c r="AZ194" s="28" t="n">
        <v>39934</v>
      </c>
      <c r="BA194" s="28" t="n">
        <v>1</v>
      </c>
      <c r="BB194" s="6" t="n">
        <f aca="false">IF(AU194="Optimal", 1, 0)</f>
        <v>1</v>
      </c>
    </row>
    <row r="195" customFormat="false" ht="12.8" hidden="false" customHeight="false" outlineLevel="0" collapsed="false">
      <c r="A195" s="1" t="n">
        <v>10</v>
      </c>
      <c r="B195" s="23" t="s">
        <v>49</v>
      </c>
      <c r="C195" s="24" t="s">
        <v>150</v>
      </c>
      <c r="D195" s="32" t="n">
        <v>23</v>
      </c>
      <c r="E195" s="32" t="n">
        <v>71</v>
      </c>
      <c r="F195" s="32" t="n">
        <v>11</v>
      </c>
      <c r="G195" s="25" t="n">
        <v>12</v>
      </c>
      <c r="H195" s="26" t="n">
        <v>1</v>
      </c>
      <c r="I195" s="26" t="n">
        <v>0.21</v>
      </c>
      <c r="J195" s="26" t="n">
        <f aca="false">IF(I195="tl", 0, 1)</f>
        <v>1</v>
      </c>
      <c r="K195" s="26" t="n">
        <v>0.05</v>
      </c>
      <c r="L195" s="26" t="n">
        <f aca="false">IF(K195="tl", 0, 1)</f>
        <v>1</v>
      </c>
      <c r="M195" s="26" t="n">
        <v>0.01</v>
      </c>
      <c r="N195" s="26" t="n">
        <f aca="false">IF(M195="tl", 0, 1)</f>
        <v>1</v>
      </c>
      <c r="O195" s="26"/>
      <c r="P195" s="23" t="n">
        <v>7</v>
      </c>
      <c r="Q195" s="23"/>
      <c r="R195" s="2" t="n">
        <f aca="false">IF(S195=C195, 1, 0)</f>
        <v>1</v>
      </c>
      <c r="S195" s="27" t="s">
        <v>150</v>
      </c>
      <c r="T195" s="27" t="n">
        <v>23</v>
      </c>
      <c r="U195" s="27" t="n">
        <v>71</v>
      </c>
      <c r="V195" s="3" t="s">
        <v>51</v>
      </c>
      <c r="W195" s="3" t="n">
        <v>12</v>
      </c>
      <c r="X195" s="3" t="n">
        <v>12</v>
      </c>
      <c r="Y195" s="3" t="n">
        <v>0.413539</v>
      </c>
      <c r="Z195" s="3" t="n">
        <v>0.191852</v>
      </c>
      <c r="AA195" s="3" t="n">
        <v>108</v>
      </c>
      <c r="AB195" s="3" t="n">
        <v>9</v>
      </c>
      <c r="AC195" s="3" t="n">
        <v>307</v>
      </c>
      <c r="AD195" s="3" t="n">
        <v>521</v>
      </c>
      <c r="AE195" s="3" t="n">
        <v>6</v>
      </c>
      <c r="AF195" s="3" t="n">
        <v>0</v>
      </c>
      <c r="AG195" s="3" t="n">
        <v>4</v>
      </c>
      <c r="AH195" s="3" t="n">
        <v>9.85714</v>
      </c>
      <c r="AI195" s="3" t="n">
        <v>12</v>
      </c>
      <c r="AJ195" s="2" t="n">
        <f aca="false">IF(V195="Optimal", 1, 0)</f>
        <v>1</v>
      </c>
      <c r="AK195" s="3" t="n">
        <f aca="false">IF(AJ195=1, W195-G195)</f>
        <v>0</v>
      </c>
      <c r="AL195" s="4" t="n">
        <f aca="false">IF(AND(AH195&lt;&gt;-1, G195&lt;&gt;"-", G195&lt;&gt;"."), ((G195-AH195)/G195)*100, -1)</f>
        <v>17.8571666666667</v>
      </c>
      <c r="AN195" s="5" t="n">
        <f aca="false">IF(AND(AO195=C195, A195=AP195), 1, 0)</f>
        <v>1</v>
      </c>
      <c r="AO195" s="5" t="s">
        <v>150</v>
      </c>
      <c r="AP195" s="5" t="n">
        <v>10</v>
      </c>
      <c r="AQ195" s="5" t="n">
        <v>3600</v>
      </c>
      <c r="AR195" s="5" t="n">
        <v>23</v>
      </c>
      <c r="AS195" s="5" t="n">
        <v>71</v>
      </c>
      <c r="AT195" s="28" t="n">
        <v>0.174029</v>
      </c>
      <c r="AU195" s="28" t="s">
        <v>51</v>
      </c>
      <c r="AV195" s="28" t="n">
        <v>11</v>
      </c>
      <c r="AW195" s="28" t="n">
        <v>11</v>
      </c>
      <c r="AX195" s="28" t="n">
        <v>12</v>
      </c>
      <c r="AY195" s="28" t="n">
        <v>66</v>
      </c>
      <c r="AZ195" s="28" t="n">
        <v>4</v>
      </c>
      <c r="BA195" s="28" t="n">
        <v>1</v>
      </c>
      <c r="BB195" s="6" t="n">
        <f aca="false">IF(AU195="Optimal", 1, 0)</f>
        <v>1</v>
      </c>
    </row>
    <row r="196" customFormat="false" ht="12.8" hidden="false" customHeight="false" outlineLevel="0" collapsed="false">
      <c r="A196" s="1" t="n">
        <v>10</v>
      </c>
      <c r="B196" s="23" t="s">
        <v>49</v>
      </c>
      <c r="C196" s="24" t="s">
        <v>151</v>
      </c>
      <c r="D196" s="32" t="n">
        <v>47</v>
      </c>
      <c r="E196" s="32" t="n">
        <v>236</v>
      </c>
      <c r="F196" s="32" t="n">
        <v>23</v>
      </c>
      <c r="G196" s="25" t="n">
        <v>13</v>
      </c>
      <c r="H196" s="26" t="n">
        <v>1</v>
      </c>
      <c r="I196" s="26" t="n">
        <v>732.31</v>
      </c>
      <c r="J196" s="26" t="n">
        <f aca="false">IF(I196="tl", 0, 1)</f>
        <v>1</v>
      </c>
      <c r="K196" s="26" t="n">
        <v>26.63</v>
      </c>
      <c r="L196" s="26" t="n">
        <f aca="false">IF(K196="tl", 0, 1)</f>
        <v>1</v>
      </c>
      <c r="M196" s="26" t="n">
        <v>0.86</v>
      </c>
      <c r="N196" s="26" t="n">
        <f aca="false">IF(M196="tl", 0, 1)</f>
        <v>1</v>
      </c>
      <c r="O196" s="26"/>
      <c r="P196" s="23" t="n">
        <v>0</v>
      </c>
      <c r="Q196" s="23"/>
      <c r="R196" s="2" t="n">
        <f aca="false">IF(S196=C196, 1, 0)</f>
        <v>1</v>
      </c>
      <c r="S196" s="27" t="s">
        <v>151</v>
      </c>
      <c r="T196" s="27" t="n">
        <v>47</v>
      </c>
      <c r="U196" s="27" t="n">
        <v>236</v>
      </c>
      <c r="V196" s="3" t="s">
        <v>51</v>
      </c>
      <c r="W196" s="30" t="n">
        <v>13</v>
      </c>
      <c r="X196" s="3" t="n">
        <v>13</v>
      </c>
      <c r="Y196" s="3" t="n">
        <v>20.2807</v>
      </c>
      <c r="Z196" s="3" t="n">
        <v>11.5972</v>
      </c>
      <c r="AA196" s="3" t="n">
        <v>1405</v>
      </c>
      <c r="AB196" s="3" t="n">
        <v>70</v>
      </c>
      <c r="AC196" s="3" t="n">
        <v>991</v>
      </c>
      <c r="AD196" s="3" t="n">
        <v>1700</v>
      </c>
      <c r="AE196" s="3" t="n">
        <v>4</v>
      </c>
      <c r="AF196" s="3" t="n">
        <v>0</v>
      </c>
      <c r="AG196" s="3" t="n">
        <v>21</v>
      </c>
      <c r="AH196" s="3" t="n">
        <v>9.4</v>
      </c>
      <c r="AI196" s="30" t="n">
        <v>24</v>
      </c>
      <c r="AJ196" s="2" t="n">
        <f aca="false">IF(V196="Optimal", 1, 0)</f>
        <v>1</v>
      </c>
      <c r="AK196" s="3" t="n">
        <f aca="false">IF(AJ196=1, W196-G196)</f>
        <v>0</v>
      </c>
      <c r="AL196" s="4" t="n">
        <f aca="false">IF(AND(AH196&lt;&gt;-1, G196&lt;&gt;"-", G196&lt;&gt;"."), ((G196-AH196)/G196)*100, -1)</f>
        <v>27.6923076923077</v>
      </c>
      <c r="AN196" s="5" t="n">
        <f aca="false">IF(AND(AO196=C196, A196=AP196), 1, 0)</f>
        <v>1</v>
      </c>
      <c r="AO196" s="5" t="s">
        <v>151</v>
      </c>
      <c r="AP196" s="5" t="n">
        <v>10</v>
      </c>
      <c r="AQ196" s="5" t="n">
        <v>3600</v>
      </c>
      <c r="AR196" s="5" t="n">
        <v>47</v>
      </c>
      <c r="AS196" s="5" t="n">
        <v>236</v>
      </c>
      <c r="AT196" s="28" t="n">
        <v>87.7476</v>
      </c>
      <c r="AU196" s="28" t="s">
        <v>51</v>
      </c>
      <c r="AV196" s="28" t="n">
        <v>34</v>
      </c>
      <c r="AW196" s="28" t="n">
        <v>34</v>
      </c>
      <c r="AX196" s="28" t="n">
        <v>13</v>
      </c>
      <c r="AY196" s="28" t="n">
        <v>367</v>
      </c>
      <c r="AZ196" s="28" t="n">
        <v>1334</v>
      </c>
      <c r="BA196" s="28" t="n">
        <v>488</v>
      </c>
      <c r="BB196" s="6" t="n">
        <f aca="false">IF(AU196="Optimal", 1, 0)</f>
        <v>1</v>
      </c>
    </row>
    <row r="197" customFormat="false" ht="12.8" hidden="false" customHeight="false" outlineLevel="0" collapsed="false">
      <c r="A197" s="1" t="n">
        <v>10</v>
      </c>
      <c r="B197" s="23" t="s">
        <v>49</v>
      </c>
      <c r="C197" s="24" t="s">
        <v>152</v>
      </c>
      <c r="D197" s="32" t="n">
        <v>95</v>
      </c>
      <c r="E197" s="32" t="n">
        <v>755</v>
      </c>
      <c r="F197" s="32" t="n">
        <v>47</v>
      </c>
      <c r="G197" s="25" t="n">
        <v>14</v>
      </c>
      <c r="H197" s="26" t="n">
        <v>1</v>
      </c>
      <c r="I197" s="26" t="s">
        <v>53</v>
      </c>
      <c r="J197" s="26" t="n">
        <f aca="false">IF(I197="tl", 0, 1)</f>
        <v>0</v>
      </c>
      <c r="K197" s="26" t="s">
        <v>53</v>
      </c>
      <c r="L197" s="26" t="n">
        <f aca="false">IF(K197="tl", 0, 1)</f>
        <v>0</v>
      </c>
      <c r="M197" s="26" t="n">
        <v>18.63</v>
      </c>
      <c r="N197" s="26" t="n">
        <f aca="false">IF(M197="tl", 0, 1)</f>
        <v>1</v>
      </c>
      <c r="O197" s="26"/>
      <c r="P197" s="23" t="n">
        <v>0</v>
      </c>
      <c r="Q197" s="23"/>
      <c r="R197" s="2" t="n">
        <f aca="false">IF(S197=C197, 1, 0)</f>
        <v>1</v>
      </c>
      <c r="S197" s="27" t="s">
        <v>152</v>
      </c>
      <c r="T197" s="27" t="n">
        <v>95</v>
      </c>
      <c r="U197" s="27" t="n">
        <v>755</v>
      </c>
      <c r="V197" s="3" t="s">
        <v>54</v>
      </c>
      <c r="W197" s="30" t="n">
        <v>35</v>
      </c>
      <c r="X197" s="3" t="n">
        <v>10.1957</v>
      </c>
      <c r="Y197" s="3" t="n">
        <v>1800.07</v>
      </c>
      <c r="Z197" s="3" t="n">
        <v>226.19</v>
      </c>
      <c r="AA197" s="3" t="n">
        <v>12141</v>
      </c>
      <c r="AB197" s="3" t="n">
        <v>5</v>
      </c>
      <c r="AC197" s="3" t="n">
        <v>3115</v>
      </c>
      <c r="AD197" s="3" t="n">
        <v>5381</v>
      </c>
      <c r="AE197" s="3" t="n">
        <v>6</v>
      </c>
      <c r="AF197" s="3" t="n">
        <v>0</v>
      </c>
      <c r="AG197" s="3" t="n">
        <v>2</v>
      </c>
      <c r="AH197" s="3" t="n">
        <v>9.19355</v>
      </c>
      <c r="AI197" s="30" t="n">
        <v>35</v>
      </c>
      <c r="AJ197" s="2" t="n">
        <f aca="false">IF(V197="Optimal", 1, 0)</f>
        <v>0</v>
      </c>
      <c r="AK197" s="29" t="b">
        <f aca="false">IF(AJ197=1, W197-G197)</f>
        <v>0</v>
      </c>
      <c r="AL197" s="4" t="n">
        <f aca="false">IF(AND(AH197&lt;&gt;-1, G197&lt;&gt;"-", G197&lt;&gt;"."), ((G197-AH197)/G197)*100, -1)</f>
        <v>34.3317857142857</v>
      </c>
      <c r="AN197" s="5" t="n">
        <f aca="false">IF(AND(AO197=C197, A197=AP197), 1, 0)</f>
        <v>1</v>
      </c>
      <c r="AO197" s="5" t="s">
        <v>152</v>
      </c>
      <c r="AP197" s="5" t="n">
        <v>10</v>
      </c>
      <c r="AQ197" s="5" t="n">
        <v>3600</v>
      </c>
      <c r="AR197" s="5" t="n">
        <v>95</v>
      </c>
      <c r="AS197" s="5" t="n">
        <v>755</v>
      </c>
      <c r="AT197" s="28" t="n">
        <v>606.324</v>
      </c>
      <c r="AU197" s="28" t="s">
        <v>51</v>
      </c>
      <c r="AV197" s="28" t="n">
        <v>81</v>
      </c>
      <c r="AW197" s="28" t="n">
        <v>81</v>
      </c>
      <c r="AX197" s="28" t="n">
        <v>14</v>
      </c>
      <c r="AY197" s="28" t="n">
        <v>855</v>
      </c>
      <c r="AZ197" s="28" t="n">
        <v>4195</v>
      </c>
      <c r="BA197" s="28" t="n">
        <v>852</v>
      </c>
      <c r="BB197" s="6" t="n">
        <f aca="false">IF(AU197="Optimal", 1, 0)</f>
        <v>1</v>
      </c>
    </row>
    <row r="198" customFormat="false" ht="12.8" hidden="false" customHeight="false" outlineLevel="0" collapsed="false">
      <c r="A198" s="1" t="n">
        <v>10</v>
      </c>
      <c r="B198" s="23" t="s">
        <v>49</v>
      </c>
      <c r="C198" s="24" t="s">
        <v>153</v>
      </c>
      <c r="D198" s="32" t="n">
        <v>191</v>
      </c>
      <c r="E198" s="32" t="n">
        <v>2360</v>
      </c>
      <c r="F198" s="32" t="n">
        <v>95</v>
      </c>
      <c r="G198" s="25" t="n">
        <v>15</v>
      </c>
      <c r="H198" s="26" t="n">
        <v>1</v>
      </c>
      <c r="I198" s="26" t="s">
        <v>53</v>
      </c>
      <c r="J198" s="26" t="n">
        <f aca="false">IF(I198="tl", 0, 1)</f>
        <v>0</v>
      </c>
      <c r="K198" s="26" t="s">
        <v>53</v>
      </c>
      <c r="L198" s="26" t="n">
        <f aca="false">IF(K198="tl", 0, 1)</f>
        <v>0</v>
      </c>
      <c r="M198" s="26" t="n">
        <v>1733.41</v>
      </c>
      <c r="N198" s="26" t="n">
        <f aca="false">IF(M198="tl", 0, 1)</f>
        <v>1</v>
      </c>
      <c r="O198" s="26"/>
      <c r="P198" s="23" t="n">
        <v>0</v>
      </c>
      <c r="Q198" s="23"/>
      <c r="R198" s="2" t="n">
        <f aca="false">IF(S198=C198, 1, 0)</f>
        <v>1</v>
      </c>
      <c r="S198" s="27" t="s">
        <v>153</v>
      </c>
      <c r="T198" s="27" t="n">
        <v>191</v>
      </c>
      <c r="U198" s="27" t="n">
        <v>2360</v>
      </c>
      <c r="V198" s="3" t="s">
        <v>54</v>
      </c>
      <c r="W198" s="3" t="n">
        <v>76</v>
      </c>
      <c r="X198" s="3" t="n">
        <v>10.0957</v>
      </c>
      <c r="Y198" s="3" t="n">
        <v>1800.04</v>
      </c>
      <c r="Z198" s="3" t="n">
        <v>222.561</v>
      </c>
      <c r="AA198" s="3" t="n">
        <v>3755</v>
      </c>
      <c r="AB198" s="3" t="n">
        <v>8</v>
      </c>
      <c r="AC198" s="3" t="n">
        <v>9631</v>
      </c>
      <c r="AD198" s="3" t="n">
        <v>16712</v>
      </c>
      <c r="AE198" s="3" t="n">
        <v>39</v>
      </c>
      <c r="AF198" s="3" t="n">
        <v>0</v>
      </c>
      <c r="AG198" s="3" t="n">
        <v>6</v>
      </c>
      <c r="AH198" s="3" t="n">
        <v>9.09524</v>
      </c>
      <c r="AI198" s="3" t="n">
        <v>76</v>
      </c>
      <c r="AJ198" s="2" t="n">
        <f aca="false">IF(V198="Optimal", 1, 0)</f>
        <v>0</v>
      </c>
      <c r="AK198" s="29" t="b">
        <f aca="false">IF(AJ198=1, W198-G198)</f>
        <v>0</v>
      </c>
      <c r="AL198" s="4" t="n">
        <f aca="false">IF(AND(AH198&lt;&gt;-1, G198&lt;&gt;"-", G198&lt;&gt;"."), ((G198-AH198)/G198)*100, -1)</f>
        <v>39.3650666666667</v>
      </c>
      <c r="AN198" s="5" t="n">
        <f aca="false">IF(AND(AO198=C198, A198=AP198), 1, 0)</f>
        <v>1</v>
      </c>
      <c r="AO198" s="5" t="s">
        <v>153</v>
      </c>
      <c r="AP198" s="5" t="n">
        <v>10</v>
      </c>
      <c r="AQ198" s="5" t="n">
        <v>3600</v>
      </c>
      <c r="AR198" s="5" t="n">
        <v>191</v>
      </c>
      <c r="AS198" s="5" t="n">
        <v>2360</v>
      </c>
      <c r="AT198" s="28" t="n">
        <v>3600</v>
      </c>
      <c r="AU198" s="28" t="s">
        <v>54</v>
      </c>
      <c r="AV198" s="28" t="n">
        <v>186.084</v>
      </c>
      <c r="AW198" s="28" t="n">
        <v>176</v>
      </c>
      <c r="AX198" s="28" t="n">
        <v>15</v>
      </c>
      <c r="AY198" s="28" t="n">
        <v>1805</v>
      </c>
      <c r="AZ198" s="28" t="n">
        <v>19828</v>
      </c>
      <c r="BA198" s="28" t="n">
        <v>476</v>
      </c>
      <c r="BB198" s="6" t="n">
        <f aca="false">IF(AU198="Optimal", 1, 0)</f>
        <v>0</v>
      </c>
    </row>
    <row r="199" customFormat="false" ht="12.8" hidden="false" customHeight="false" outlineLevel="0" collapsed="false">
      <c r="A199" s="1" t="n">
        <v>10</v>
      </c>
      <c r="B199" s="23" t="s">
        <v>64</v>
      </c>
      <c r="C199" s="24" t="s">
        <v>154</v>
      </c>
      <c r="D199" s="32" t="n">
        <v>105</v>
      </c>
      <c r="E199" s="32" t="n">
        <v>441</v>
      </c>
      <c r="F199" s="32" t="n">
        <v>43</v>
      </c>
      <c r="G199" s="25" t="n">
        <v>15</v>
      </c>
      <c r="H199" s="26" t="n">
        <v>1</v>
      </c>
      <c r="I199" s="26" t="s">
        <v>53</v>
      </c>
      <c r="J199" s="26" t="n">
        <f aca="false">IF(I199="tl", 0, 1)</f>
        <v>0</v>
      </c>
      <c r="K199" s="26" t="n">
        <v>388.26</v>
      </c>
      <c r="L199" s="26" t="n">
        <f aca="false">IF(K199="tl", 0, 1)</f>
        <v>1</v>
      </c>
      <c r="M199" s="26" t="n">
        <v>394.9</v>
      </c>
      <c r="N199" s="26" t="n">
        <f aca="false">IF(M199="tl", 0, 1)</f>
        <v>1</v>
      </c>
      <c r="O199" s="26"/>
      <c r="P199" s="23" t="n">
        <v>0</v>
      </c>
      <c r="Q199" s="23"/>
      <c r="R199" s="2" t="n">
        <f aca="false">IF(S199=C199, 1, 0)</f>
        <v>1</v>
      </c>
      <c r="S199" s="27" t="s">
        <v>154</v>
      </c>
      <c r="T199" s="27" t="n">
        <v>105</v>
      </c>
      <c r="U199" s="27" t="n">
        <v>441</v>
      </c>
      <c r="V199" s="3" t="s">
        <v>54</v>
      </c>
      <c r="W199" s="3" t="n">
        <v>15</v>
      </c>
      <c r="X199" s="3" t="n">
        <v>10.5211</v>
      </c>
      <c r="Y199" s="3" t="n">
        <v>1800.1</v>
      </c>
      <c r="Z199" s="3" t="n">
        <v>1204.45</v>
      </c>
      <c r="AA199" s="3" t="n">
        <v>10956</v>
      </c>
      <c r="AB199" s="3" t="n">
        <v>31</v>
      </c>
      <c r="AC199" s="3" t="n">
        <v>1869</v>
      </c>
      <c r="AD199" s="3" t="n">
        <v>3193</v>
      </c>
      <c r="AE199" s="3" t="n">
        <v>19</v>
      </c>
      <c r="AF199" s="3" t="n">
        <v>0</v>
      </c>
      <c r="AG199" s="3" t="n">
        <v>16</v>
      </c>
      <c r="AH199" s="3" t="n">
        <v>9.17476</v>
      </c>
      <c r="AI199" s="3" t="n">
        <v>32</v>
      </c>
      <c r="AJ199" s="2" t="n">
        <f aca="false">IF(V199="Optimal", 1, 0)</f>
        <v>0</v>
      </c>
      <c r="AK199" s="29" t="b">
        <f aca="false">IF(AJ199=1, W199-G199)</f>
        <v>0</v>
      </c>
      <c r="AL199" s="4" t="n">
        <f aca="false">IF(AND(AH199&lt;&gt;-1, G199&lt;&gt;"-", G199&lt;&gt;"."), ((G199-AH199)/G199)*100, -1)</f>
        <v>38.8349333333333</v>
      </c>
      <c r="AN199" s="5" t="n">
        <f aca="false">IF(AND(AO199=C199, A199=AP199), 1, 0)</f>
        <v>1</v>
      </c>
      <c r="AO199" s="5" t="s">
        <v>154</v>
      </c>
      <c r="AP199" s="5" t="n">
        <v>10</v>
      </c>
      <c r="AQ199" s="5" t="n">
        <v>3600</v>
      </c>
      <c r="AR199" s="5" t="n">
        <v>105</v>
      </c>
      <c r="AS199" s="5" t="n">
        <v>441</v>
      </c>
      <c r="AT199" s="28" t="n">
        <v>3600</v>
      </c>
      <c r="AU199" s="28" t="s">
        <v>54</v>
      </c>
      <c r="AV199" s="28" t="n">
        <v>96.8675</v>
      </c>
      <c r="AW199" s="28" t="n">
        <v>90</v>
      </c>
      <c r="AX199" s="28" t="n">
        <v>15</v>
      </c>
      <c r="AY199" s="28" t="n">
        <v>929</v>
      </c>
      <c r="AZ199" s="28" t="n">
        <v>3916</v>
      </c>
      <c r="BA199" s="28" t="n">
        <v>35378</v>
      </c>
      <c r="BB199" s="6" t="n">
        <f aca="false">IF(AU199="Optimal", 1, 0)</f>
        <v>0</v>
      </c>
    </row>
    <row r="200" customFormat="false" ht="12.8" hidden="false" customHeight="false" outlineLevel="0" collapsed="false">
      <c r="A200" s="1" t="n">
        <v>10</v>
      </c>
      <c r="B200" s="23" t="s">
        <v>49</v>
      </c>
      <c r="C200" s="24" t="s">
        <v>156</v>
      </c>
      <c r="D200" s="32" t="n">
        <v>100</v>
      </c>
      <c r="E200" s="32" t="n">
        <v>1470</v>
      </c>
      <c r="F200" s="32" t="n">
        <v>10</v>
      </c>
      <c r="G200" s="25" t="n">
        <v>90</v>
      </c>
      <c r="H200" s="26" t="n">
        <v>1</v>
      </c>
      <c r="I200" s="26" t="n">
        <v>1.06</v>
      </c>
      <c r="J200" s="26" t="n">
        <f aca="false">IF(I200="tl", 0, 1)</f>
        <v>1</v>
      </c>
      <c r="K200" s="26" t="n">
        <v>5.76</v>
      </c>
      <c r="L200" s="26" t="n">
        <f aca="false">IF(K200="tl", 0, 1)</f>
        <v>1</v>
      </c>
      <c r="M200" s="26" t="n">
        <v>0.16</v>
      </c>
      <c r="N200" s="26" t="n">
        <f aca="false">IF(M200="tl", 0, 1)</f>
        <v>1</v>
      </c>
      <c r="O200" s="26"/>
      <c r="P200" s="23" t="n">
        <v>0</v>
      </c>
      <c r="Q200" s="23"/>
      <c r="R200" s="2" t="n">
        <f aca="false">IF(S200=C200, 1, 0)</f>
        <v>1</v>
      </c>
      <c r="S200" s="27" t="s">
        <v>156</v>
      </c>
      <c r="T200" s="27" t="n">
        <v>100</v>
      </c>
      <c r="U200" s="27" t="n">
        <v>1470</v>
      </c>
      <c r="V200" s="3" t="s">
        <v>54</v>
      </c>
      <c r="W200" s="30" t="n">
        <v>1E+020</v>
      </c>
      <c r="X200" s="3" t="n">
        <v>13.9219</v>
      </c>
      <c r="Y200" s="3" t="n">
        <v>1800.2</v>
      </c>
      <c r="Z200" s="3" t="n">
        <v>1023.45</v>
      </c>
      <c r="AA200" s="3" t="n">
        <v>8198</v>
      </c>
      <c r="AB200" s="3" t="n">
        <v>291</v>
      </c>
      <c r="AC200" s="3" t="n">
        <v>5980</v>
      </c>
      <c r="AD200" s="3" t="n">
        <v>10391</v>
      </c>
      <c r="AE200" s="3" t="n">
        <v>9</v>
      </c>
      <c r="AF200" s="3" t="n">
        <v>3</v>
      </c>
      <c r="AG200" s="3" t="n">
        <v>81</v>
      </c>
      <c r="AH200" s="3" t="n">
        <v>9.18367</v>
      </c>
      <c r="AI200" s="30" t="n">
        <v>1E+020</v>
      </c>
      <c r="AJ200" s="2" t="n">
        <f aca="false">IF(V200="Optimal", 1, 0)</f>
        <v>0</v>
      </c>
      <c r="AK200" s="29" t="b">
        <f aca="false">IF(AJ200=1, W200-G200)</f>
        <v>0</v>
      </c>
      <c r="AL200" s="4" t="n">
        <f aca="false">IF(AND(AH200&lt;&gt;-1, G200&lt;&gt;"-", G200&lt;&gt;"."), ((G200-AH200)/G200)*100, -1)</f>
        <v>89.7959222222222</v>
      </c>
      <c r="AN200" s="5" t="n">
        <f aca="false">IF(AND(AO200=C200, A200=AP200), 1, 0)</f>
        <v>1</v>
      </c>
      <c r="AO200" s="5" t="s">
        <v>156</v>
      </c>
      <c r="AP200" s="5" t="n">
        <v>10</v>
      </c>
      <c r="AQ200" s="5" t="n">
        <v>3600</v>
      </c>
      <c r="AR200" s="5" t="n">
        <v>100</v>
      </c>
      <c r="AS200" s="5" t="n">
        <v>1470</v>
      </c>
      <c r="AT200" s="28" t="n">
        <v>11.8916</v>
      </c>
      <c r="AU200" s="28" t="s">
        <v>51</v>
      </c>
      <c r="AV200" s="28" t="n">
        <v>10</v>
      </c>
      <c r="AW200" s="28" t="n">
        <v>10</v>
      </c>
      <c r="AX200" s="28" t="n">
        <v>90</v>
      </c>
      <c r="AY200" s="28" t="n">
        <v>100</v>
      </c>
      <c r="AZ200" s="28" t="n">
        <v>1299</v>
      </c>
      <c r="BA200" s="28" t="n">
        <v>1</v>
      </c>
      <c r="BB200" s="6" t="n">
        <f aca="false">IF(AU200="Optimal", 1, 0)</f>
        <v>1</v>
      </c>
    </row>
    <row r="201" customFormat="false" ht="12.8" hidden="false" customHeight="false" outlineLevel="0" collapsed="false">
      <c r="A201" s="1" t="n">
        <v>10</v>
      </c>
      <c r="B201" s="23" t="s">
        <v>49</v>
      </c>
      <c r="C201" s="24" t="s">
        <v>157</v>
      </c>
      <c r="D201" s="32" t="n">
        <v>121</v>
      </c>
      <c r="E201" s="32" t="n">
        <v>1980</v>
      </c>
      <c r="F201" s="32" t="n">
        <v>11</v>
      </c>
      <c r="G201" s="25" t="s">
        <v>77</v>
      </c>
      <c r="H201" s="3" t="n">
        <v>0</v>
      </c>
      <c r="I201" s="26" t="s">
        <v>53</v>
      </c>
      <c r="J201" s="26" t="n">
        <f aca="false">IF(I201="tl", 0, 1)</f>
        <v>0</v>
      </c>
      <c r="K201" s="26" t="s">
        <v>53</v>
      </c>
      <c r="L201" s="26" t="n">
        <f aca="false">IF(K201="tl", 0, 1)</f>
        <v>0</v>
      </c>
      <c r="M201" s="26" t="s">
        <v>53</v>
      </c>
      <c r="N201" s="26" t="n">
        <f aca="false">IF(M201="tl", 0, 1)</f>
        <v>0</v>
      </c>
      <c r="O201" s="26"/>
      <c r="P201" s="23" t="n">
        <v>0</v>
      </c>
      <c r="Q201" s="23"/>
      <c r="R201" s="2" t="n">
        <f aca="false">IF(S201=C201, 1, 0)</f>
        <v>1</v>
      </c>
      <c r="S201" s="27" t="s">
        <v>157</v>
      </c>
      <c r="T201" s="27" t="n">
        <v>121</v>
      </c>
      <c r="U201" s="27" t="n">
        <v>1980</v>
      </c>
      <c r="V201" s="3" t="s">
        <v>54</v>
      </c>
      <c r="W201" s="30" t="n">
        <v>1E+020</v>
      </c>
      <c r="X201" s="3" t="n">
        <v>10.1525</v>
      </c>
      <c r="Y201" s="3" t="n">
        <v>1800.04</v>
      </c>
      <c r="Z201" s="3" t="n">
        <v>212.917</v>
      </c>
      <c r="AA201" s="3" t="n">
        <v>10188</v>
      </c>
      <c r="AB201" s="3" t="n">
        <v>30</v>
      </c>
      <c r="AC201" s="3" t="n">
        <v>8041</v>
      </c>
      <c r="AD201" s="3" t="n">
        <v>13982</v>
      </c>
      <c r="AE201" s="3" t="n">
        <v>7</v>
      </c>
      <c r="AF201" s="3" t="n">
        <v>0</v>
      </c>
      <c r="AG201" s="3" t="n">
        <v>24</v>
      </c>
      <c r="AH201" s="3" t="n">
        <v>9.15126</v>
      </c>
      <c r="AI201" s="30" t="n">
        <v>1E+020</v>
      </c>
      <c r="AJ201" s="2" t="n">
        <f aca="false">IF(V201="Optimal", 1, 0)</f>
        <v>0</v>
      </c>
      <c r="AK201" s="29" t="b">
        <f aca="false">IF(AJ201=1, W201-G201)</f>
        <v>0</v>
      </c>
      <c r="AL201" s="4" t="n">
        <f aca="false">IF(AND(AH201&lt;&gt;-1, G201&lt;&gt;"-", G201&lt;&gt;"."), ((G201-AH201)/G201)*100, -1)</f>
        <v>-1</v>
      </c>
      <c r="AN201" s="5" t="n">
        <f aca="false">IF(AND(AO201=C201, A201=AP201), 1, 0)</f>
        <v>1</v>
      </c>
      <c r="AO201" s="5" t="s">
        <v>157</v>
      </c>
      <c r="AP201" s="5" t="n">
        <v>10</v>
      </c>
      <c r="AQ201" s="5" t="n">
        <v>3600</v>
      </c>
      <c r="AR201" s="5" t="n">
        <v>121</v>
      </c>
      <c r="AS201" s="5" t="n">
        <v>1980</v>
      </c>
      <c r="AT201" s="28" t="n">
        <v>3600</v>
      </c>
      <c r="AU201" s="28" t="s">
        <v>54</v>
      </c>
      <c r="AV201" s="28" t="n">
        <v>98.2026</v>
      </c>
      <c r="AW201" s="28" t="n">
        <v>13</v>
      </c>
      <c r="AX201" s="28" t="n">
        <v>108</v>
      </c>
      <c r="AY201" s="28" t="n">
        <v>727</v>
      </c>
      <c r="AZ201" s="28" t="n">
        <v>14864</v>
      </c>
      <c r="BA201" s="28" t="n">
        <v>8311</v>
      </c>
      <c r="BB201" s="6" t="n">
        <f aca="false">IF(AU201="Optimal", 1, 0)</f>
        <v>0</v>
      </c>
    </row>
    <row r="202" customFormat="false" ht="12.8" hidden="false" customHeight="false" outlineLevel="0" collapsed="false">
      <c r="A202" s="1" t="n">
        <v>10</v>
      </c>
      <c r="B202" s="23" t="s">
        <v>49</v>
      </c>
      <c r="C202" s="24" t="s">
        <v>158</v>
      </c>
      <c r="D202" s="32" t="n">
        <v>144</v>
      </c>
      <c r="E202" s="32" t="n">
        <v>2596</v>
      </c>
      <c r="F202" s="32" t="n">
        <v>12</v>
      </c>
      <c r="G202" s="25" t="s">
        <v>77</v>
      </c>
      <c r="H202" s="3" t="n">
        <v>0</v>
      </c>
      <c r="I202" s="26" t="s">
        <v>53</v>
      </c>
      <c r="J202" s="26" t="n">
        <f aca="false">IF(I202="tl", 0, 1)</f>
        <v>0</v>
      </c>
      <c r="K202" s="26" t="s">
        <v>53</v>
      </c>
      <c r="L202" s="26" t="n">
        <f aca="false">IF(K202="tl", 0, 1)</f>
        <v>0</v>
      </c>
      <c r="M202" s="26" t="s">
        <v>53</v>
      </c>
      <c r="N202" s="26" t="n">
        <f aca="false">IF(M202="tl", 0, 1)</f>
        <v>0</v>
      </c>
      <c r="O202" s="26"/>
      <c r="P202" s="23" t="n">
        <v>0</v>
      </c>
      <c r="Q202" s="23"/>
      <c r="R202" s="2" t="n">
        <f aca="false">IF(S202=C202, 1, 0)</f>
        <v>1</v>
      </c>
      <c r="S202" s="27" t="s">
        <v>158</v>
      </c>
      <c r="T202" s="27" t="n">
        <v>144</v>
      </c>
      <c r="U202" s="27" t="n">
        <v>2596</v>
      </c>
      <c r="V202" s="3" t="s">
        <v>54</v>
      </c>
      <c r="W202" s="3" t="n">
        <v>134</v>
      </c>
      <c r="X202" s="3" t="n">
        <v>12.1295</v>
      </c>
      <c r="Y202" s="3" t="n">
        <v>1800.11</v>
      </c>
      <c r="Z202" s="3" t="n">
        <v>332.7</v>
      </c>
      <c r="AA202" s="3" t="n">
        <v>6940</v>
      </c>
      <c r="AB202" s="3" t="n">
        <v>51</v>
      </c>
      <c r="AC202" s="3" t="n">
        <v>10528</v>
      </c>
      <c r="AD202" s="3" t="n">
        <v>18317</v>
      </c>
      <c r="AE202" s="3" t="n">
        <v>8</v>
      </c>
      <c r="AF202" s="3" t="n">
        <v>0</v>
      </c>
      <c r="AG202" s="3" t="n">
        <v>47</v>
      </c>
      <c r="AH202" s="3" t="n">
        <v>9.12676</v>
      </c>
      <c r="AI202" s="3" t="n">
        <v>134</v>
      </c>
      <c r="AJ202" s="2" t="n">
        <f aca="false">IF(V202="Optimal", 1, 0)</f>
        <v>0</v>
      </c>
      <c r="AK202" s="29" t="b">
        <f aca="false">IF(AJ202=1, W202-G202)</f>
        <v>0</v>
      </c>
      <c r="AL202" s="4" t="n">
        <f aca="false">IF(AND(AH202&lt;&gt;-1, G202&lt;&gt;"-", G202&lt;&gt;"."), ((G202-AH202)/G202)*100, -1)</f>
        <v>-1</v>
      </c>
      <c r="AN202" s="5" t="n">
        <f aca="false">IF(AND(AO202=C202, A202=AP202), 1, 0)</f>
        <v>1</v>
      </c>
      <c r="AO202" s="5" t="s">
        <v>158</v>
      </c>
      <c r="AP202" s="5" t="n">
        <v>10</v>
      </c>
      <c r="AQ202" s="5" t="n">
        <v>3600</v>
      </c>
      <c r="AR202" s="5" t="n">
        <v>144</v>
      </c>
      <c r="AS202" s="5" t="n">
        <v>2596</v>
      </c>
      <c r="AT202" s="28" t="n">
        <v>3600</v>
      </c>
      <c r="AU202" s="28" t="s">
        <v>54</v>
      </c>
      <c r="AV202" s="28" t="n">
        <v>127.886</v>
      </c>
      <c r="AW202" s="28" t="n">
        <v>15</v>
      </c>
      <c r="AX202" s="28" t="n">
        <v>129</v>
      </c>
      <c r="AY202" s="28" t="n">
        <v>915</v>
      </c>
      <c r="AZ202" s="28" t="n">
        <v>16064</v>
      </c>
      <c r="BA202" s="28" t="n">
        <v>760</v>
      </c>
      <c r="BB202" s="6" t="n">
        <f aca="false">IF(AU202="Optimal", 1, 0)</f>
        <v>0</v>
      </c>
    </row>
    <row r="203" customFormat="false" ht="12.8" hidden="false" customHeight="false" outlineLevel="0" collapsed="false">
      <c r="A203" s="1" t="n">
        <v>10</v>
      </c>
      <c r="B203" s="23" t="s">
        <v>49</v>
      </c>
      <c r="C203" s="24" t="s">
        <v>159</v>
      </c>
      <c r="D203" s="32" t="n">
        <v>169</v>
      </c>
      <c r="E203" s="32" t="n">
        <v>3328</v>
      </c>
      <c r="F203" s="32" t="n">
        <v>13</v>
      </c>
      <c r="G203" s="25" t="s">
        <v>77</v>
      </c>
      <c r="H203" s="3" t="n">
        <v>0</v>
      </c>
      <c r="I203" s="26" t="s">
        <v>53</v>
      </c>
      <c r="J203" s="26" t="n">
        <f aca="false">IF(I203="tl", 0, 1)</f>
        <v>0</v>
      </c>
      <c r="K203" s="26" t="s">
        <v>53</v>
      </c>
      <c r="L203" s="26" t="n">
        <f aca="false">IF(K203="tl", 0, 1)</f>
        <v>0</v>
      </c>
      <c r="M203" s="26" t="s">
        <v>53</v>
      </c>
      <c r="N203" s="26" t="n">
        <f aca="false">IF(M203="tl", 0, 1)</f>
        <v>0</v>
      </c>
      <c r="O203" s="26"/>
      <c r="P203" s="23" t="n">
        <v>0</v>
      </c>
      <c r="Q203" s="23"/>
      <c r="R203" s="2" t="n">
        <f aca="false">IF(S203=C203, 1, 0)</f>
        <v>1</v>
      </c>
      <c r="S203" s="27" t="s">
        <v>159</v>
      </c>
      <c r="T203" s="27" t="n">
        <v>169</v>
      </c>
      <c r="U203" s="27" t="n">
        <v>3328</v>
      </c>
      <c r="V203" s="3" t="s">
        <v>54</v>
      </c>
      <c r="W203" s="3" t="n">
        <v>159</v>
      </c>
      <c r="X203" s="3" t="n">
        <v>12.6</v>
      </c>
      <c r="Y203" s="3" t="n">
        <v>1800.08</v>
      </c>
      <c r="Z203" s="3" t="n">
        <v>437.938</v>
      </c>
      <c r="AA203" s="3" t="n">
        <v>6819</v>
      </c>
      <c r="AB203" s="3" t="n">
        <v>11</v>
      </c>
      <c r="AC203" s="3" t="n">
        <v>13481</v>
      </c>
      <c r="AD203" s="3" t="n">
        <v>23466</v>
      </c>
      <c r="AE203" s="3" t="n">
        <v>17</v>
      </c>
      <c r="AF203" s="3" t="n">
        <v>0</v>
      </c>
      <c r="AG203" s="3" t="n">
        <v>5</v>
      </c>
      <c r="AH203" s="3" t="n">
        <v>9.10778</v>
      </c>
      <c r="AI203" s="3" t="n">
        <v>159</v>
      </c>
      <c r="AJ203" s="2" t="n">
        <f aca="false">IF(V203="Optimal", 1, 0)</f>
        <v>0</v>
      </c>
      <c r="AK203" s="29" t="b">
        <f aca="false">IF(AJ203=1, W203-G203)</f>
        <v>0</v>
      </c>
      <c r="AL203" s="4" t="n">
        <f aca="false">IF(AND(AH203&lt;&gt;-1, G203&lt;&gt;"-", G203&lt;&gt;"."), ((G203-AH203)/G203)*100, -1)</f>
        <v>-1</v>
      </c>
      <c r="AN203" s="5" t="n">
        <f aca="false">IF(AND(AO203=C203, A203=AP203), 1, 0)</f>
        <v>1</v>
      </c>
      <c r="AO203" s="5" t="s">
        <v>159</v>
      </c>
      <c r="AP203" s="5" t="n">
        <v>10</v>
      </c>
      <c r="AQ203" s="5" t="n">
        <v>3600</v>
      </c>
      <c r="AR203" s="5" t="n">
        <v>169</v>
      </c>
      <c r="AS203" s="5" t="n">
        <v>3328</v>
      </c>
      <c r="AT203" s="28" t="n">
        <v>3600</v>
      </c>
      <c r="AU203" s="28" t="s">
        <v>54</v>
      </c>
      <c r="AV203" s="28" t="n">
        <v>163.247</v>
      </c>
      <c r="AW203" s="28" t="n">
        <v>17</v>
      </c>
      <c r="AX203" s="28" t="n">
        <v>152</v>
      </c>
      <c r="AY203" s="28" t="n">
        <v>1474</v>
      </c>
      <c r="AZ203" s="28" t="n">
        <v>29069</v>
      </c>
      <c r="BA203" s="28" t="n">
        <v>110</v>
      </c>
      <c r="BB203" s="6" t="n">
        <f aca="false">IF(AU203="Optimal", 1, 0)</f>
        <v>0</v>
      </c>
    </row>
    <row r="204" customFormat="false" ht="12.8" hidden="false" customHeight="false" outlineLevel="0" collapsed="false">
      <c r="A204" s="1" t="n">
        <v>10</v>
      </c>
      <c r="B204" s="23" t="s">
        <v>49</v>
      </c>
      <c r="C204" s="24" t="s">
        <v>160</v>
      </c>
      <c r="D204" s="32" t="n">
        <v>196</v>
      </c>
      <c r="E204" s="32" t="n">
        <v>4186</v>
      </c>
      <c r="F204" s="32" t="n">
        <v>14</v>
      </c>
      <c r="G204" s="25" t="s">
        <v>77</v>
      </c>
      <c r="H204" s="3" t="n">
        <v>0</v>
      </c>
      <c r="I204" s="26" t="s">
        <v>53</v>
      </c>
      <c r="J204" s="26" t="n">
        <f aca="false">IF(I204="tl", 0, 1)</f>
        <v>0</v>
      </c>
      <c r="K204" s="26" t="s">
        <v>53</v>
      </c>
      <c r="L204" s="26" t="n">
        <f aca="false">IF(K204="tl", 0, 1)</f>
        <v>0</v>
      </c>
      <c r="M204" s="26" t="s">
        <v>53</v>
      </c>
      <c r="N204" s="26" t="n">
        <f aca="false">IF(M204="tl", 0, 1)</f>
        <v>0</v>
      </c>
      <c r="O204" s="26"/>
      <c r="P204" s="23" t="n">
        <v>0</v>
      </c>
      <c r="Q204" s="23"/>
      <c r="R204" s="2" t="n">
        <f aca="false">IF(S204=C204, 1, 0)</f>
        <v>1</v>
      </c>
      <c r="S204" s="27" t="s">
        <v>160</v>
      </c>
      <c r="T204" s="27" t="n">
        <v>196</v>
      </c>
      <c r="U204" s="27" t="n">
        <v>4186</v>
      </c>
      <c r="V204" s="3" t="s">
        <v>54</v>
      </c>
      <c r="W204" s="30" t="n">
        <v>184</v>
      </c>
      <c r="X204" s="3" t="n">
        <v>12.1875</v>
      </c>
      <c r="Y204" s="3" t="n">
        <v>1800.05</v>
      </c>
      <c r="Z204" s="3" t="n">
        <v>561.207</v>
      </c>
      <c r="AA204" s="3" t="n">
        <v>6770</v>
      </c>
      <c r="AB204" s="3" t="n">
        <v>11</v>
      </c>
      <c r="AC204" s="3" t="n">
        <v>16940</v>
      </c>
      <c r="AD204" s="3" t="n">
        <v>29499</v>
      </c>
      <c r="AE204" s="3" t="n">
        <v>2</v>
      </c>
      <c r="AF204" s="3" t="n">
        <v>0</v>
      </c>
      <c r="AG204" s="3" t="n">
        <v>5</v>
      </c>
      <c r="AH204" s="3" t="n">
        <v>9.09278</v>
      </c>
      <c r="AI204" s="3" t="n">
        <v>184</v>
      </c>
      <c r="AJ204" s="2" t="n">
        <f aca="false">IF(V204="Optimal", 1, 0)</f>
        <v>0</v>
      </c>
      <c r="AK204" s="29" t="b">
        <f aca="false">IF(AJ204=1, W204-G204)</f>
        <v>0</v>
      </c>
      <c r="AL204" s="4" t="n">
        <f aca="false">IF(AND(AH204&lt;&gt;-1, G204&lt;&gt;"-", G204&lt;&gt;"."), ((G204-AH204)/G204)*100, -1)</f>
        <v>-1</v>
      </c>
      <c r="AN204" s="5" t="n">
        <f aca="false">IF(AND(AO204=C204, A204=AP204), 1, 0)</f>
        <v>1</v>
      </c>
      <c r="AO204" s="5" t="s">
        <v>160</v>
      </c>
      <c r="AP204" s="5" t="n">
        <v>10</v>
      </c>
      <c r="AQ204" s="5" t="n">
        <v>3600</v>
      </c>
      <c r="AR204" s="5" t="n">
        <v>196</v>
      </c>
      <c r="AS204" s="5" t="n">
        <v>4186</v>
      </c>
      <c r="AT204" s="28" t="n">
        <v>3600</v>
      </c>
      <c r="AU204" s="28" t="s">
        <v>54</v>
      </c>
      <c r="AV204" s="28" t="n">
        <v>192.314</v>
      </c>
      <c r="AW204" s="28" t="n">
        <v>17</v>
      </c>
      <c r="AX204" s="28" t="n">
        <v>179</v>
      </c>
      <c r="AY204" s="28" t="n">
        <v>1732</v>
      </c>
      <c r="AZ204" s="28" t="n">
        <v>36870</v>
      </c>
      <c r="BA204" s="28" t="n">
        <v>40</v>
      </c>
      <c r="BB204" s="6" t="n">
        <f aca="false">IF(AU204="Optimal", 1, 0)</f>
        <v>0</v>
      </c>
    </row>
    <row r="205" customFormat="false" ht="12.8" hidden="false" customHeight="false" outlineLevel="0" collapsed="false">
      <c r="A205" s="33" t="n">
        <v>10</v>
      </c>
      <c r="B205" s="34" t="s">
        <v>49</v>
      </c>
      <c r="C205" s="35" t="s">
        <v>167</v>
      </c>
      <c r="D205" s="36" t="n">
        <v>125</v>
      </c>
      <c r="E205" s="36" t="n">
        <v>209</v>
      </c>
      <c r="F205" s="36" t="n">
        <v>49</v>
      </c>
      <c r="G205" s="37" t="s">
        <v>86</v>
      </c>
      <c r="H205" s="38" t="n">
        <v>1</v>
      </c>
      <c r="I205" s="37" t="s">
        <v>86</v>
      </c>
      <c r="J205" s="38" t="n">
        <f aca="false">IF(I205="tl", 0, 1)</f>
        <v>1</v>
      </c>
      <c r="K205" s="37" t="s">
        <v>86</v>
      </c>
      <c r="L205" s="38" t="n">
        <f aca="false">IF(K205="tl", 0, 1)</f>
        <v>1</v>
      </c>
      <c r="M205" s="37" t="s">
        <v>86</v>
      </c>
      <c r="N205" s="38" t="n">
        <f aca="false">IF(M205="tl", 0, 1)</f>
        <v>1</v>
      </c>
      <c r="O205" s="38"/>
      <c r="P205" s="31" t="n">
        <v>0</v>
      </c>
      <c r="Q205" s="31"/>
      <c r="R205" s="31" t="n">
        <f aca="false">IF(S205=C205, 1, 0)</f>
        <v>1</v>
      </c>
      <c r="S205" s="39" t="s">
        <v>167</v>
      </c>
      <c r="T205" s="39" t="n">
        <v>125</v>
      </c>
      <c r="U205" s="39" t="n">
        <v>209</v>
      </c>
      <c r="V205" s="40" t="s">
        <v>51</v>
      </c>
      <c r="W205" s="41" t="n">
        <v>1</v>
      </c>
      <c r="X205" s="40" t="n">
        <v>1</v>
      </c>
      <c r="Y205" s="40" t="n">
        <v>1.10072</v>
      </c>
      <c r="Z205" s="40" t="n">
        <v>0.392605</v>
      </c>
      <c r="AA205" s="40" t="n">
        <v>484</v>
      </c>
      <c r="AB205" s="40" t="n">
        <v>1</v>
      </c>
      <c r="AC205" s="40" t="n">
        <v>961</v>
      </c>
      <c r="AD205" s="40" t="n">
        <v>1589</v>
      </c>
      <c r="AE205" s="40" t="n">
        <v>150</v>
      </c>
      <c r="AF205" s="40" t="n">
        <v>0</v>
      </c>
      <c r="AG205" s="40" t="n">
        <v>0</v>
      </c>
      <c r="AH205" s="40" t="n">
        <v>-1</v>
      </c>
      <c r="AI205" s="41" t="n">
        <v>-1</v>
      </c>
      <c r="AJ205" s="31" t="n">
        <f aca="false">IF(V205="Optimal", 1, 0)</f>
        <v>1</v>
      </c>
      <c r="AK205" s="3" t="e">
        <f aca="false">IF(AJ205=1, W205-G205)</f>
        <v>#VALUE!</v>
      </c>
      <c r="AL205" s="4" t="n">
        <f aca="false">IF(AND(AH205&lt;&gt;-1, G205&lt;&gt;"-", G205&lt;&gt;"."), ((G205-AH205)/G205)*100, -1)</f>
        <v>-1</v>
      </c>
      <c r="AN205" s="5" t="n">
        <f aca="false">IF(AND(AO205=C205, A205=AP205), 1, 0)</f>
        <v>1</v>
      </c>
      <c r="AO205" s="5" t="s">
        <v>167</v>
      </c>
      <c r="AP205" s="5" t="n">
        <v>10</v>
      </c>
      <c r="AQ205" s="5" t="n">
        <v>3600</v>
      </c>
      <c r="AR205" s="5" t="n">
        <v>125</v>
      </c>
      <c r="AS205" s="5" t="n">
        <v>209</v>
      </c>
      <c r="AT205" s="28" t="n">
        <v>20.5196</v>
      </c>
      <c r="AU205" s="28" t="s">
        <v>51</v>
      </c>
      <c r="AV205" s="28" t="n">
        <v>125</v>
      </c>
      <c r="AW205" s="28" t="n">
        <v>125</v>
      </c>
      <c r="AX205" s="28" t="n">
        <v>0</v>
      </c>
      <c r="AY205" s="28" t="n">
        <v>1168</v>
      </c>
      <c r="AZ205" s="28" t="n">
        <v>2028</v>
      </c>
      <c r="BA205" s="28" t="n">
        <v>7</v>
      </c>
      <c r="BB205" s="6" t="n">
        <f aca="false">IF(AU205="Optimal", 1, 0)</f>
        <v>1</v>
      </c>
    </row>
    <row r="206" customFormat="false" ht="12.8" hidden="false" customHeight="false" outlineLevel="0" collapsed="false">
      <c r="A206" s="1" t="n">
        <v>10</v>
      </c>
      <c r="B206" s="23" t="s">
        <v>67</v>
      </c>
      <c r="C206" s="24" t="s">
        <v>170</v>
      </c>
      <c r="D206" s="32" t="n">
        <v>136</v>
      </c>
      <c r="E206" s="32" t="n">
        <v>641</v>
      </c>
      <c r="F206" s="32" t="n">
        <v>39</v>
      </c>
      <c r="G206" s="25" t="s">
        <v>77</v>
      </c>
      <c r="H206" s="3" t="n">
        <v>0</v>
      </c>
      <c r="I206" s="25" t="s">
        <v>53</v>
      </c>
      <c r="J206" s="26" t="n">
        <f aca="false">IF(I206="tl", 0, 1)</f>
        <v>0</v>
      </c>
      <c r="K206" s="25" t="s">
        <v>53</v>
      </c>
      <c r="L206" s="26" t="n">
        <f aca="false">IF(K206="tl", 0, 1)</f>
        <v>0</v>
      </c>
      <c r="M206" s="25" t="s">
        <v>53</v>
      </c>
      <c r="N206" s="26" t="n">
        <f aca="false">IF(M206="tl", 0, 1)</f>
        <v>0</v>
      </c>
      <c r="O206" s="26"/>
      <c r="P206" s="23" t="n">
        <v>0</v>
      </c>
      <c r="Q206" s="23"/>
      <c r="R206" s="2" t="n">
        <f aca="false">IF(S206=C206, 1, 0)</f>
        <v>1</v>
      </c>
      <c r="S206" s="27" t="s">
        <v>170</v>
      </c>
      <c r="T206" s="27" t="n">
        <v>136</v>
      </c>
      <c r="U206" s="27" t="n">
        <v>641</v>
      </c>
      <c r="V206" s="3" t="s">
        <v>54</v>
      </c>
      <c r="W206" s="3" t="n">
        <v>83</v>
      </c>
      <c r="X206" s="3" t="n">
        <v>10</v>
      </c>
      <c r="Y206" s="3" t="n">
        <v>1800.07</v>
      </c>
      <c r="Z206" s="3" t="n">
        <v>1370.62</v>
      </c>
      <c r="AA206" s="3" t="n">
        <v>9140</v>
      </c>
      <c r="AB206" s="3" t="n">
        <v>53</v>
      </c>
      <c r="AC206" s="3" t="n">
        <v>2700</v>
      </c>
      <c r="AD206" s="3" t="n">
        <v>4624</v>
      </c>
      <c r="AE206" s="3" t="n">
        <v>5</v>
      </c>
      <c r="AF206" s="3" t="n">
        <v>0</v>
      </c>
      <c r="AG206" s="3" t="n">
        <v>13</v>
      </c>
      <c r="AH206" s="3" t="n">
        <v>9</v>
      </c>
      <c r="AI206" s="3" t="n">
        <v>90</v>
      </c>
      <c r="AJ206" s="2" t="n">
        <f aca="false">IF(V206="Optimal", 1, 0)</f>
        <v>0</v>
      </c>
      <c r="AK206" s="29" t="b">
        <f aca="false">IF(AJ206=1, W206-G206)</f>
        <v>0</v>
      </c>
      <c r="AL206" s="4" t="n">
        <f aca="false">IF(AND(AH206&lt;&gt;-1, G206&lt;&gt;"-", G206&lt;&gt;"."), ((G206-AH206)/G206)*100, -1)</f>
        <v>-1</v>
      </c>
      <c r="AN206" s="5" t="n">
        <f aca="false">IF(AND(AO206=C206, A206=AP206), 1, 0)</f>
        <v>1</v>
      </c>
      <c r="AO206" s="5" t="s">
        <v>170</v>
      </c>
      <c r="AP206" s="5" t="n">
        <v>10</v>
      </c>
      <c r="AQ206" s="5" t="n">
        <v>3600</v>
      </c>
      <c r="AR206" s="5" t="n">
        <v>136</v>
      </c>
      <c r="AS206" s="5" t="n">
        <v>641</v>
      </c>
      <c r="AT206" s="28" t="n">
        <v>3600</v>
      </c>
      <c r="AU206" s="28" t="s">
        <v>54</v>
      </c>
      <c r="AV206" s="28" t="n">
        <v>132.008</v>
      </c>
      <c r="AW206" s="28" t="n">
        <v>113</v>
      </c>
      <c r="AX206" s="28" t="n">
        <v>23</v>
      </c>
      <c r="AY206" s="28" t="n">
        <v>1281</v>
      </c>
      <c r="AZ206" s="28" t="n">
        <v>7369</v>
      </c>
      <c r="BA206" s="28" t="n">
        <v>891</v>
      </c>
      <c r="BB206" s="6" t="n">
        <f aca="false">IF(AU206="Optimal", 1, 0)</f>
        <v>0</v>
      </c>
    </row>
    <row r="207" customFormat="false" ht="12.8" hidden="false" customHeight="false" outlineLevel="0" collapsed="false">
      <c r="A207" s="1" t="n">
        <v>10</v>
      </c>
      <c r="B207" s="23" t="s">
        <v>67</v>
      </c>
      <c r="C207" s="24" t="s">
        <v>172</v>
      </c>
      <c r="D207" s="32" t="n">
        <v>67</v>
      </c>
      <c r="E207" s="32" t="n">
        <v>411</v>
      </c>
      <c r="F207" s="32" t="n">
        <v>12</v>
      </c>
      <c r="G207" s="25" t="s">
        <v>77</v>
      </c>
      <c r="H207" s="3" t="n">
        <v>0</v>
      </c>
      <c r="I207" s="25" t="s">
        <v>53</v>
      </c>
      <c r="J207" s="26" t="n">
        <f aca="false">IF(I207="tl", 0, 1)</f>
        <v>0</v>
      </c>
      <c r="K207" s="25" t="n">
        <v>688.55</v>
      </c>
      <c r="L207" s="26" t="n">
        <f aca="false">IF(K207="tl", 0, 1)</f>
        <v>1</v>
      </c>
      <c r="M207" s="25" t="s">
        <v>53</v>
      </c>
      <c r="N207" s="26" t="n">
        <f aca="false">IF(M207="tl", 0, 1)</f>
        <v>0</v>
      </c>
      <c r="O207" s="26"/>
      <c r="P207" s="23" t="n">
        <v>3</v>
      </c>
      <c r="Q207" s="23"/>
      <c r="R207" s="2" t="n">
        <f aca="false">IF(S207=C207, 1, 0)</f>
        <v>1</v>
      </c>
      <c r="S207" s="27" t="s">
        <v>172</v>
      </c>
      <c r="T207" s="27" t="n">
        <v>67</v>
      </c>
      <c r="U207" s="27" t="n">
        <v>411</v>
      </c>
      <c r="V207" s="3" t="s">
        <v>54</v>
      </c>
      <c r="W207" s="3" t="n">
        <v>49</v>
      </c>
      <c r="X207" s="3" t="n">
        <v>15</v>
      </c>
      <c r="Y207" s="3" t="n">
        <v>1800.01</v>
      </c>
      <c r="Z207" s="3" t="n">
        <v>1345.57</v>
      </c>
      <c r="AA207" s="3" t="n">
        <v>15220</v>
      </c>
      <c r="AB207" s="3" t="n">
        <v>360</v>
      </c>
      <c r="AC207" s="3" t="n">
        <v>1711</v>
      </c>
      <c r="AD207" s="3" t="n">
        <v>2945</v>
      </c>
      <c r="AE207" s="3" t="n">
        <v>13</v>
      </c>
      <c r="AF207" s="3" t="n">
        <v>11</v>
      </c>
      <c r="AG207" s="3" t="n">
        <v>39</v>
      </c>
      <c r="AH207" s="3" t="n">
        <v>9.27692</v>
      </c>
      <c r="AI207" s="3" t="n">
        <v>52</v>
      </c>
      <c r="AJ207" s="2" t="n">
        <f aca="false">IF(V207="Optimal", 1, 0)</f>
        <v>0</v>
      </c>
      <c r="AK207" s="29" t="b">
        <f aca="false">IF(AJ207=1, W207-G207)</f>
        <v>0</v>
      </c>
      <c r="AL207" s="4" t="n">
        <f aca="false">IF(AND(AH207&lt;&gt;-1, G207&lt;&gt;"-", G207&lt;&gt;"."), ((G207-AH207)/G207)*100, -1)</f>
        <v>-1</v>
      </c>
      <c r="AN207" s="5" t="n">
        <f aca="false">IF(AND(AO207=C207, A207=AP207), 1, 0)</f>
        <v>1</v>
      </c>
      <c r="AO207" s="5" t="s">
        <v>172</v>
      </c>
      <c r="AP207" s="5" t="n">
        <v>10</v>
      </c>
      <c r="AQ207" s="5" t="n">
        <v>3600</v>
      </c>
      <c r="AR207" s="5" t="n">
        <v>67</v>
      </c>
      <c r="AS207" s="5" t="n">
        <v>411</v>
      </c>
      <c r="AT207" s="28" t="n">
        <v>3600</v>
      </c>
      <c r="AU207" s="28" t="s">
        <v>54</v>
      </c>
      <c r="AV207" s="28" t="n">
        <v>45.9903</v>
      </c>
      <c r="AW207" s="28" t="n">
        <v>29</v>
      </c>
      <c r="AX207" s="28" t="n">
        <v>38</v>
      </c>
      <c r="AY207" s="28" t="n">
        <v>425</v>
      </c>
      <c r="AZ207" s="28" t="n">
        <v>8201</v>
      </c>
      <c r="BA207" s="28" t="n">
        <v>122501</v>
      </c>
      <c r="BB207" s="6" t="n">
        <f aca="false">IF(AU207="Optimal", 1, 0)</f>
        <v>0</v>
      </c>
    </row>
    <row r="208" customFormat="false" ht="12.8" hidden="false" customHeight="false" outlineLevel="0" collapsed="false">
      <c r="A208" s="1" t="n">
        <v>10</v>
      </c>
      <c r="B208" s="23" t="s">
        <v>67</v>
      </c>
      <c r="C208" s="24" t="s">
        <v>173</v>
      </c>
      <c r="D208" s="32" t="n">
        <v>132</v>
      </c>
      <c r="E208" s="32" t="n">
        <v>560</v>
      </c>
      <c r="F208" s="32" t="n">
        <v>39</v>
      </c>
      <c r="G208" s="25" t="n">
        <v>12</v>
      </c>
      <c r="H208" s="26" t="n">
        <v>1</v>
      </c>
      <c r="I208" s="25" t="s">
        <v>53</v>
      </c>
      <c r="J208" s="26" t="n">
        <f aca="false">IF(I208="tl", 0, 1)</f>
        <v>0</v>
      </c>
      <c r="K208" s="25" t="n">
        <v>34.71</v>
      </c>
      <c r="L208" s="26" t="n">
        <f aca="false">IF(K208="tl", 0, 1)</f>
        <v>1</v>
      </c>
      <c r="M208" s="25" t="n">
        <v>385.95</v>
      </c>
      <c r="N208" s="26" t="n">
        <f aca="false">IF(M208="tl", 0, 1)</f>
        <v>1</v>
      </c>
      <c r="O208" s="26"/>
      <c r="P208" s="23" t="n">
        <v>0</v>
      </c>
      <c r="Q208" s="23"/>
      <c r="R208" s="2" t="n">
        <f aca="false">IF(S208=C208, 1, 0)</f>
        <v>1</v>
      </c>
      <c r="S208" s="27" t="s">
        <v>173</v>
      </c>
      <c r="T208" s="27" t="n">
        <v>132</v>
      </c>
      <c r="U208" s="27" t="n">
        <v>560</v>
      </c>
      <c r="V208" s="3" t="s">
        <v>54</v>
      </c>
      <c r="W208" s="30" t="n">
        <v>12</v>
      </c>
      <c r="X208" s="3" t="n">
        <v>10.1163</v>
      </c>
      <c r="Y208" s="3" t="n">
        <v>1800</v>
      </c>
      <c r="Z208" s="3" t="n">
        <v>1028.19</v>
      </c>
      <c r="AA208" s="3" t="n">
        <v>10671</v>
      </c>
      <c r="AB208" s="3" t="n">
        <v>69</v>
      </c>
      <c r="AC208" s="3" t="n">
        <v>2372</v>
      </c>
      <c r="AD208" s="3" t="n">
        <v>4053</v>
      </c>
      <c r="AE208" s="3" t="n">
        <v>71</v>
      </c>
      <c r="AF208" s="3" t="n">
        <v>0</v>
      </c>
      <c r="AG208" s="3" t="n">
        <v>13</v>
      </c>
      <c r="AH208" s="3" t="n">
        <v>9</v>
      </c>
      <c r="AI208" s="30" t="n">
        <v>59</v>
      </c>
      <c r="AJ208" s="2" t="n">
        <f aca="false">IF(V208="Optimal", 1, 0)</f>
        <v>0</v>
      </c>
      <c r="AK208" s="29" t="b">
        <f aca="false">IF(AJ208=1, W208-G208)</f>
        <v>0</v>
      </c>
      <c r="AL208" s="4" t="n">
        <f aca="false">IF(AND(AH208&lt;&gt;-1, G208&lt;&gt;"-", G208&lt;&gt;"."), ((G208-AH208)/G208)*100, -1)</f>
        <v>25</v>
      </c>
      <c r="AN208" s="5" t="n">
        <f aca="false">IF(AND(AO208=C208, A208=AP208), 1, 0)</f>
        <v>1</v>
      </c>
      <c r="AO208" s="5" t="s">
        <v>173</v>
      </c>
      <c r="AP208" s="5" t="n">
        <v>10</v>
      </c>
      <c r="AQ208" s="5" t="n">
        <v>3600</v>
      </c>
      <c r="AR208" s="5" t="n">
        <v>132</v>
      </c>
      <c r="AS208" s="5" t="n">
        <v>560</v>
      </c>
      <c r="AT208" s="28" t="n">
        <v>3600</v>
      </c>
      <c r="AU208" s="28" t="s">
        <v>54</v>
      </c>
      <c r="AV208" s="28" t="n">
        <v>128.836</v>
      </c>
      <c r="AW208" s="28" t="n">
        <v>119</v>
      </c>
      <c r="AX208" s="28" t="n">
        <v>13</v>
      </c>
      <c r="AY208" s="28" t="n">
        <v>1234</v>
      </c>
      <c r="AZ208" s="28" t="n">
        <v>5719</v>
      </c>
      <c r="BA208" s="28" t="n">
        <v>9694</v>
      </c>
      <c r="BB208" s="6" t="n">
        <f aca="false">IF(AU208="Optimal", 1, 0)</f>
        <v>0</v>
      </c>
    </row>
    <row r="209" customFormat="false" ht="12.8" hidden="false" customHeight="false" outlineLevel="0" collapsed="false">
      <c r="A209" s="1" t="n">
        <v>10</v>
      </c>
      <c r="B209" s="23" t="s">
        <v>67</v>
      </c>
      <c r="C209" s="24" t="s">
        <v>174</v>
      </c>
      <c r="D209" s="32" t="n">
        <v>57</v>
      </c>
      <c r="E209" s="32" t="n">
        <v>304</v>
      </c>
      <c r="F209" s="32" t="n">
        <v>10</v>
      </c>
      <c r="G209" s="25" t="n">
        <v>22</v>
      </c>
      <c r="H209" s="26" t="n">
        <v>1</v>
      </c>
      <c r="I209" s="25" t="n">
        <v>0.05</v>
      </c>
      <c r="J209" s="26" t="n">
        <f aca="false">IF(I209="tl", 0, 1)</f>
        <v>1</v>
      </c>
      <c r="K209" s="25" t="n">
        <v>0.17</v>
      </c>
      <c r="L209" s="26" t="n">
        <f aca="false">IF(K209="tl", 0, 1)</f>
        <v>1</v>
      </c>
      <c r="M209" s="25" t="n">
        <v>0.11</v>
      </c>
      <c r="N209" s="26" t="n">
        <f aca="false">IF(M209="tl", 0, 1)</f>
        <v>1</v>
      </c>
      <c r="O209" s="26"/>
      <c r="P209" s="23" t="n">
        <v>16</v>
      </c>
      <c r="Q209" s="23"/>
      <c r="R209" s="2" t="n">
        <f aca="false">IF(S209=C209, 1, 0)</f>
        <v>1</v>
      </c>
      <c r="S209" s="27" t="s">
        <v>174</v>
      </c>
      <c r="T209" s="27" t="n">
        <v>57</v>
      </c>
      <c r="U209" s="27" t="n">
        <v>304</v>
      </c>
      <c r="V209" s="3" t="s">
        <v>54</v>
      </c>
      <c r="W209" s="30" t="n">
        <v>26</v>
      </c>
      <c r="X209" s="3" t="n">
        <v>15.1111</v>
      </c>
      <c r="Y209" s="3" t="n">
        <v>1800.01</v>
      </c>
      <c r="Z209" s="3" t="n">
        <v>1535.76</v>
      </c>
      <c r="AA209" s="3" t="n">
        <v>8946</v>
      </c>
      <c r="AB209" s="3" t="n">
        <v>1758</v>
      </c>
      <c r="AC209" s="3" t="n">
        <v>1273</v>
      </c>
      <c r="AD209" s="3" t="n">
        <v>2186</v>
      </c>
      <c r="AE209" s="3" t="n">
        <v>20</v>
      </c>
      <c r="AF209" s="3" t="n">
        <v>6</v>
      </c>
      <c r="AG209" s="3" t="n">
        <v>29</v>
      </c>
      <c r="AH209" s="3" t="n">
        <v>9.32727</v>
      </c>
      <c r="AI209" s="30" t="n">
        <v>1E+020</v>
      </c>
      <c r="AJ209" s="2" t="n">
        <f aca="false">IF(V209="Optimal", 1, 0)</f>
        <v>0</v>
      </c>
      <c r="AK209" s="29" t="b">
        <f aca="false">IF(AJ209=1, W209-G209)</f>
        <v>0</v>
      </c>
      <c r="AL209" s="4" t="n">
        <f aca="false">IF(AND(AH209&lt;&gt;-1, G209&lt;&gt;"-", G209&lt;&gt;"."), ((G209-AH209)/G209)*100, -1)</f>
        <v>57.6033181818182</v>
      </c>
      <c r="AN209" s="5" t="n">
        <f aca="false">IF(AND(AO209=C209, A209=AP209), 1, 0)</f>
        <v>1</v>
      </c>
      <c r="AO209" s="5" t="s">
        <v>174</v>
      </c>
      <c r="AP209" s="5" t="n">
        <v>10</v>
      </c>
      <c r="AQ209" s="5" t="n">
        <v>3600</v>
      </c>
      <c r="AR209" s="5" t="n">
        <v>57</v>
      </c>
      <c r="AS209" s="5" t="n">
        <v>304</v>
      </c>
      <c r="AT209" s="28" t="n">
        <v>301.167</v>
      </c>
      <c r="AU209" s="28" t="s">
        <v>51</v>
      </c>
      <c r="AV209" s="28" t="n">
        <v>35</v>
      </c>
      <c r="AW209" s="28" t="n">
        <v>35</v>
      </c>
      <c r="AX209" s="28" t="n">
        <v>22</v>
      </c>
      <c r="AY209" s="28" t="n">
        <v>471</v>
      </c>
      <c r="AZ209" s="28" t="n">
        <v>6787</v>
      </c>
      <c r="BA209" s="28" t="n">
        <v>6123</v>
      </c>
      <c r="BB209" s="6" t="n">
        <f aca="false">IF(AU209="Optimal", 1, 0)</f>
        <v>1</v>
      </c>
    </row>
    <row r="210" customFormat="false" ht="12.8" hidden="false" customHeight="false" outlineLevel="0" collapsed="false">
      <c r="A210" s="1" t="n">
        <v>15</v>
      </c>
      <c r="B210" s="23" t="s">
        <v>49</v>
      </c>
      <c r="C210" s="24" t="s">
        <v>52</v>
      </c>
      <c r="D210" s="32" t="n">
        <v>93</v>
      </c>
      <c r="E210" s="32" t="n">
        <v>593</v>
      </c>
      <c r="F210" s="32" t="n">
        <v>45</v>
      </c>
      <c r="G210" s="32" t="n">
        <v>18</v>
      </c>
      <c r="H210" s="32" t="n">
        <v>1</v>
      </c>
      <c r="I210" s="26" t="s">
        <v>53</v>
      </c>
      <c r="J210" s="26" t="n">
        <f aca="false">IF(I210="tl", 0, 1)</f>
        <v>0</v>
      </c>
      <c r="K210" s="26" t="s">
        <v>53</v>
      </c>
      <c r="L210" s="26" t="n">
        <f aca="false">IF(K210="tl", 0, 1)</f>
        <v>0</v>
      </c>
      <c r="M210" s="26" t="n">
        <v>21.42</v>
      </c>
      <c r="N210" s="26" t="n">
        <f aca="false">IF(M210="tl", 0, 1)</f>
        <v>1</v>
      </c>
      <c r="P210" s="23" t="n">
        <v>0</v>
      </c>
      <c r="Q210" s="23"/>
      <c r="R210" s="2" t="n">
        <f aca="false">IF(S210=C210, 1, 0)</f>
        <v>1</v>
      </c>
      <c r="S210" s="2" t="s">
        <v>52</v>
      </c>
      <c r="T210" s="2" t="n">
        <v>93</v>
      </c>
      <c r="U210" s="2" t="n">
        <v>593</v>
      </c>
      <c r="V210" s="2" t="s">
        <v>54</v>
      </c>
      <c r="W210" s="2" t="n">
        <v>62</v>
      </c>
      <c r="X210" s="2" t="n">
        <v>14.3077</v>
      </c>
      <c r="Y210" s="2" t="n">
        <v>1800.03</v>
      </c>
      <c r="Z210" s="2" t="n">
        <v>305.552</v>
      </c>
      <c r="AA210" s="2" t="n">
        <v>20812</v>
      </c>
      <c r="AB210" s="2" t="n">
        <v>3</v>
      </c>
      <c r="AC210" s="2" t="n">
        <v>2465</v>
      </c>
      <c r="AD210" s="2" t="n">
        <v>4245</v>
      </c>
      <c r="AE210" s="2" t="n">
        <v>11</v>
      </c>
      <c r="AF210" s="2" t="n">
        <v>0</v>
      </c>
      <c r="AG210" s="2" t="n">
        <v>1</v>
      </c>
      <c r="AH210" s="2" t="n">
        <v>14.3077</v>
      </c>
      <c r="AI210" s="2" t="n">
        <v>62</v>
      </c>
      <c r="AJ210" s="2" t="n">
        <f aca="false">IF(V210="Optimal", 1, 0)</f>
        <v>0</v>
      </c>
      <c r="AK210" s="29" t="b">
        <f aca="false">IF(AJ210=1, W210-G210)</f>
        <v>0</v>
      </c>
      <c r="AL210" s="4" t="n">
        <f aca="false">IF(AND(AH210&lt;&gt;-1, G210&lt;&gt;"-", G210&lt;&gt;"."), ((G210-AH210)/G210)*100, -1)</f>
        <v>20.5127777777778</v>
      </c>
      <c r="AN210" s="5" t="n">
        <f aca="false">IF(AND(AO210=C210, A210=AP210), 1, 0)</f>
        <v>1</v>
      </c>
      <c r="AO210" s="5" t="s">
        <v>52</v>
      </c>
      <c r="AP210" s="5" t="n">
        <v>15</v>
      </c>
      <c r="AQ210" s="5" t="n">
        <v>3600</v>
      </c>
      <c r="AR210" s="5" t="n">
        <v>93</v>
      </c>
      <c r="AS210" s="5" t="n">
        <v>593</v>
      </c>
      <c r="AT210" s="28" t="n">
        <v>3600</v>
      </c>
      <c r="AU210" s="28" t="s">
        <v>54</v>
      </c>
      <c r="AV210" s="28" t="n">
        <v>85.8199</v>
      </c>
      <c r="AW210" s="28" t="n">
        <v>75</v>
      </c>
      <c r="AX210" s="28" t="n">
        <v>18</v>
      </c>
      <c r="AY210" s="28" t="n">
        <v>1193</v>
      </c>
      <c r="AZ210" s="28" t="n">
        <v>8351</v>
      </c>
      <c r="BA210" s="28" t="n">
        <v>1257</v>
      </c>
      <c r="BB210" s="6" t="n">
        <f aca="false">IF(AU210="Optimal", 1, 0)</f>
        <v>0</v>
      </c>
    </row>
    <row r="211" customFormat="false" ht="12.8" hidden="false" customHeight="false" outlineLevel="0" collapsed="false">
      <c r="A211" s="1" t="n">
        <v>15</v>
      </c>
      <c r="B211" s="23" t="s">
        <v>49</v>
      </c>
      <c r="C211" s="24" t="s">
        <v>55</v>
      </c>
      <c r="D211" s="32" t="n">
        <v>67</v>
      </c>
      <c r="E211" s="32" t="n">
        <v>232</v>
      </c>
      <c r="F211" s="32" t="n">
        <v>32</v>
      </c>
      <c r="G211" s="32" t="n">
        <v>16</v>
      </c>
      <c r="H211" s="3" t="n">
        <v>1</v>
      </c>
      <c r="I211" s="26" t="n">
        <v>2717.2</v>
      </c>
      <c r="J211" s="26" t="n">
        <f aca="false">IF(I211="tl", 0, 1)</f>
        <v>1</v>
      </c>
      <c r="K211" s="26" t="n">
        <v>56.18</v>
      </c>
      <c r="L211" s="26" t="n">
        <f aca="false">IF(K211="tl", 0, 1)</f>
        <v>1</v>
      </c>
      <c r="M211" s="26" t="n">
        <v>2.46</v>
      </c>
      <c r="N211" s="26" t="n">
        <f aca="false">IF(M211="tl", 0, 1)</f>
        <v>1</v>
      </c>
      <c r="P211" s="23" t="n">
        <v>0</v>
      </c>
      <c r="Q211" s="23"/>
      <c r="R211" s="2" t="n">
        <f aca="false">IF(S211=C211, 1, 0)</f>
        <v>1</v>
      </c>
      <c r="S211" s="2" t="s">
        <v>55</v>
      </c>
      <c r="T211" s="2" t="n">
        <v>67</v>
      </c>
      <c r="U211" s="2" t="n">
        <v>232</v>
      </c>
      <c r="V211" s="2" t="s">
        <v>51</v>
      </c>
      <c r="W211" s="2" t="n">
        <v>16</v>
      </c>
      <c r="X211" s="2" t="n">
        <v>16</v>
      </c>
      <c r="Y211" s="2" t="n">
        <v>3.29039</v>
      </c>
      <c r="Z211" s="2" t="n">
        <v>1.5352</v>
      </c>
      <c r="AA211" s="2" t="n">
        <v>374</v>
      </c>
      <c r="AB211" s="2" t="n">
        <v>7</v>
      </c>
      <c r="AC211" s="2" t="n">
        <v>995</v>
      </c>
      <c r="AD211" s="2" t="n">
        <v>1692</v>
      </c>
      <c r="AE211" s="2" t="n">
        <v>2</v>
      </c>
      <c r="AF211" s="2" t="n">
        <v>0</v>
      </c>
      <c r="AG211" s="2" t="n">
        <v>4</v>
      </c>
      <c r="AH211" s="2" t="n">
        <v>14.4308</v>
      </c>
      <c r="AI211" s="2" t="n">
        <v>29</v>
      </c>
      <c r="AJ211" s="2" t="n">
        <f aca="false">IF(V211="Optimal", 1, 0)</f>
        <v>1</v>
      </c>
      <c r="AK211" s="3" t="n">
        <f aca="false">IF(AJ211=1, W211-G211)</f>
        <v>0</v>
      </c>
      <c r="AL211" s="4" t="n">
        <f aca="false">IF(AND(AH211&lt;&gt;-1, G211&lt;&gt;"-", G211&lt;&gt;"."), ((G211-AH211)/G211)*100, -1)</f>
        <v>9.8075</v>
      </c>
      <c r="AN211" s="5" t="n">
        <f aca="false">IF(AND(AO211=C211, A211=AP211), 1, 0)</f>
        <v>1</v>
      </c>
      <c r="AO211" s="5" t="s">
        <v>55</v>
      </c>
      <c r="AP211" s="5" t="n">
        <v>15</v>
      </c>
      <c r="AQ211" s="5" t="n">
        <v>3600</v>
      </c>
      <c r="AR211" s="5" t="n">
        <v>67</v>
      </c>
      <c r="AS211" s="5" t="n">
        <v>232</v>
      </c>
      <c r="AT211" s="28" t="n">
        <v>2480.02</v>
      </c>
      <c r="AU211" s="28" t="s">
        <v>51</v>
      </c>
      <c r="AV211" s="28" t="n">
        <v>51</v>
      </c>
      <c r="AW211" s="28" t="n">
        <v>51</v>
      </c>
      <c r="AX211" s="28" t="n">
        <v>16</v>
      </c>
      <c r="AY211" s="28" t="n">
        <v>830</v>
      </c>
      <c r="AZ211" s="28" t="n">
        <v>1964</v>
      </c>
      <c r="BA211" s="28" t="n">
        <v>4540</v>
      </c>
      <c r="BB211" s="6" t="n">
        <f aca="false">IF(AU211="Optimal", 1, 0)</f>
        <v>1</v>
      </c>
    </row>
    <row r="212" customFormat="false" ht="12.8" hidden="false" customHeight="false" outlineLevel="0" collapsed="false">
      <c r="A212" s="1" t="n">
        <v>15</v>
      </c>
      <c r="B212" s="23" t="s">
        <v>49</v>
      </c>
      <c r="C212" s="24" t="s">
        <v>56</v>
      </c>
      <c r="D212" s="32" t="n">
        <v>52</v>
      </c>
      <c r="E212" s="32" t="n">
        <v>201</v>
      </c>
      <c r="F212" s="32" t="n">
        <v>25</v>
      </c>
      <c r="G212" s="32" t="n">
        <v>17</v>
      </c>
      <c r="H212" s="3" t="n">
        <v>1</v>
      </c>
      <c r="I212" s="26" t="n">
        <v>217.61</v>
      </c>
      <c r="J212" s="26" t="n">
        <f aca="false">IF(I212="tl", 0, 1)</f>
        <v>1</v>
      </c>
      <c r="K212" s="26" t="n">
        <v>23.2</v>
      </c>
      <c r="L212" s="26" t="n">
        <f aca="false">IF(K212="tl", 0, 1)</f>
        <v>1</v>
      </c>
      <c r="M212" s="26" t="n">
        <v>0.74</v>
      </c>
      <c r="N212" s="26" t="n">
        <f aca="false">IF(M212="tl", 0, 1)</f>
        <v>1</v>
      </c>
      <c r="P212" s="23" t="n">
        <v>0</v>
      </c>
      <c r="Q212" s="23"/>
      <c r="R212" s="2" t="n">
        <f aca="false">IF(S212=C212, 1, 0)</f>
        <v>1</v>
      </c>
      <c r="S212" s="2" t="s">
        <v>56</v>
      </c>
      <c r="T212" s="2" t="n">
        <v>52</v>
      </c>
      <c r="U212" s="2" t="n">
        <v>201</v>
      </c>
      <c r="V212" s="2" t="s">
        <v>51</v>
      </c>
      <c r="W212" s="2" t="n">
        <v>17</v>
      </c>
      <c r="X212" s="2" t="n">
        <v>17</v>
      </c>
      <c r="Y212" s="2" t="n">
        <v>220.214</v>
      </c>
      <c r="Z212" s="2" t="n">
        <v>141.442</v>
      </c>
      <c r="AA212" s="2" t="n">
        <v>6267</v>
      </c>
      <c r="AB212" s="2" t="n">
        <v>60</v>
      </c>
      <c r="AC212" s="2" t="n">
        <v>856</v>
      </c>
      <c r="AD212" s="2" t="n">
        <v>1460</v>
      </c>
      <c r="AE212" s="2" t="n">
        <v>9</v>
      </c>
      <c r="AF212" s="2" t="n">
        <v>0</v>
      </c>
      <c r="AG212" s="2" t="n">
        <v>26</v>
      </c>
      <c r="AH212" s="2" t="n">
        <v>14.56</v>
      </c>
      <c r="AI212" s="2" t="n">
        <v>31</v>
      </c>
      <c r="AJ212" s="2" t="n">
        <f aca="false">IF(V212="Optimal", 1, 0)</f>
        <v>1</v>
      </c>
      <c r="AK212" s="3" t="n">
        <f aca="false">IF(AJ212=1, W212-G212)</f>
        <v>0</v>
      </c>
      <c r="AL212" s="4" t="n">
        <f aca="false">IF(AND(AH212&lt;&gt;-1, G212&lt;&gt;"-", G212&lt;&gt;"."), ((G212-AH212)/G212)*100, -1)</f>
        <v>14.3529411764706</v>
      </c>
      <c r="AN212" s="5" t="n">
        <f aca="false">IF(AND(AO212=C212, A212=AP212), 1, 0)</f>
        <v>1</v>
      </c>
      <c r="AO212" s="5" t="s">
        <v>56</v>
      </c>
      <c r="AP212" s="5" t="n">
        <v>15</v>
      </c>
      <c r="AQ212" s="5" t="n">
        <v>3600</v>
      </c>
      <c r="AR212" s="5" t="n">
        <v>52</v>
      </c>
      <c r="AS212" s="5" t="n">
        <v>201</v>
      </c>
      <c r="AT212" s="28" t="n">
        <v>2261.97</v>
      </c>
      <c r="AU212" s="28" t="s">
        <v>51</v>
      </c>
      <c r="AV212" s="28" t="n">
        <v>35</v>
      </c>
      <c r="AW212" s="28" t="n">
        <v>35</v>
      </c>
      <c r="AX212" s="28" t="n">
        <v>17</v>
      </c>
      <c r="AY212" s="28" t="n">
        <v>593</v>
      </c>
      <c r="AZ212" s="28" t="n">
        <v>1668</v>
      </c>
      <c r="BA212" s="28" t="n">
        <v>10437</v>
      </c>
      <c r="BB212" s="6" t="n">
        <f aca="false">IF(AU212="Optimal", 1, 0)</f>
        <v>1</v>
      </c>
    </row>
    <row r="213" customFormat="false" ht="12.8" hidden="false" customHeight="false" outlineLevel="0" collapsed="false">
      <c r="A213" s="1" t="n">
        <v>15</v>
      </c>
      <c r="B213" s="23" t="s">
        <v>49</v>
      </c>
      <c r="C213" s="24" t="s">
        <v>57</v>
      </c>
      <c r="D213" s="32" t="n">
        <v>37</v>
      </c>
      <c r="E213" s="32" t="n">
        <v>72</v>
      </c>
      <c r="F213" s="32" t="n">
        <v>18</v>
      </c>
      <c r="G213" s="32" t="n">
        <v>16</v>
      </c>
      <c r="H213" s="3" t="n">
        <v>1</v>
      </c>
      <c r="I213" s="26" t="n">
        <v>334.47</v>
      </c>
      <c r="J213" s="26" t="n">
        <f aca="false">IF(I213="tl", 0, 1)</f>
        <v>1</v>
      </c>
      <c r="K213" s="26" t="n">
        <v>20.11</v>
      </c>
      <c r="L213" s="26" t="n">
        <f aca="false">IF(K213="tl", 0, 1)</f>
        <v>1</v>
      </c>
      <c r="M213" s="26" t="n">
        <v>0.24</v>
      </c>
      <c r="N213" s="26" t="n">
        <f aca="false">IF(M213="tl", 0, 1)</f>
        <v>1</v>
      </c>
      <c r="P213" s="23" t="n">
        <v>1</v>
      </c>
      <c r="Q213" s="23"/>
      <c r="R213" s="2" t="n">
        <f aca="false">IF(S213=C213, 1, 0)</f>
        <v>1</v>
      </c>
      <c r="S213" s="2" t="s">
        <v>57</v>
      </c>
      <c r="T213" s="2" t="n">
        <v>37</v>
      </c>
      <c r="U213" s="2" t="n">
        <v>72</v>
      </c>
      <c r="V213" s="2" t="s">
        <v>51</v>
      </c>
      <c r="W213" s="2" t="n">
        <v>16</v>
      </c>
      <c r="X213" s="2" t="n">
        <v>16</v>
      </c>
      <c r="Y213" s="2" t="n">
        <v>0.238681</v>
      </c>
      <c r="Z213" s="2" t="n">
        <v>0.115936</v>
      </c>
      <c r="AA213" s="2" t="n">
        <v>115</v>
      </c>
      <c r="AB213" s="2" t="n">
        <v>3</v>
      </c>
      <c r="AC213" s="2" t="n">
        <v>325</v>
      </c>
      <c r="AD213" s="2" t="n">
        <v>542</v>
      </c>
      <c r="AE213" s="2" t="n">
        <v>4</v>
      </c>
      <c r="AF213" s="2" t="n">
        <v>0</v>
      </c>
      <c r="AG213" s="2" t="n">
        <v>1</v>
      </c>
      <c r="AH213" s="2" t="n">
        <v>14.8</v>
      </c>
      <c r="AI213" s="2" t="n">
        <v>21</v>
      </c>
      <c r="AJ213" s="2" t="n">
        <f aca="false">IF(V213="Optimal", 1, 0)</f>
        <v>1</v>
      </c>
      <c r="AK213" s="3" t="n">
        <f aca="false">IF(AJ213=1, W213-G213)</f>
        <v>0</v>
      </c>
      <c r="AL213" s="4" t="n">
        <f aca="false">IF(AND(AH213&lt;&gt;-1, G213&lt;&gt;"-", G213&lt;&gt;"."), ((G213-AH213)/G213)*100, -1)</f>
        <v>7.5</v>
      </c>
      <c r="AN213" s="5" t="n">
        <f aca="false">IF(AND(AO213=C213, A213=AP213), 1, 0)</f>
        <v>1</v>
      </c>
      <c r="AO213" s="5" t="s">
        <v>57</v>
      </c>
      <c r="AP213" s="5" t="n">
        <v>15</v>
      </c>
      <c r="AQ213" s="5" t="n">
        <v>3600</v>
      </c>
      <c r="AR213" s="5" t="n">
        <v>37</v>
      </c>
      <c r="AS213" s="5" t="n">
        <v>72</v>
      </c>
      <c r="AT213" s="28" t="n">
        <v>517.664</v>
      </c>
      <c r="AU213" s="28" t="s">
        <v>51</v>
      </c>
      <c r="AV213" s="28" t="n">
        <v>21</v>
      </c>
      <c r="AW213" s="28" t="n">
        <v>21</v>
      </c>
      <c r="AX213" s="28" t="n">
        <v>16</v>
      </c>
      <c r="AY213" s="28" t="n">
        <v>388</v>
      </c>
      <c r="AZ213" s="28" t="n">
        <v>2466</v>
      </c>
      <c r="BA213" s="28" t="n">
        <v>11761</v>
      </c>
      <c r="BB213" s="6" t="n">
        <f aca="false">IF(AU213="Optimal", 1, 0)</f>
        <v>1</v>
      </c>
    </row>
    <row r="214" customFormat="false" ht="12.8" hidden="false" customHeight="false" outlineLevel="0" collapsed="false">
      <c r="A214" s="1" t="n">
        <v>15</v>
      </c>
      <c r="B214" s="23" t="s">
        <v>49</v>
      </c>
      <c r="C214" s="24" t="s">
        <v>58</v>
      </c>
      <c r="D214" s="32" t="n">
        <v>149</v>
      </c>
      <c r="E214" s="32" t="n">
        <v>541</v>
      </c>
      <c r="F214" s="32" t="n">
        <v>74</v>
      </c>
      <c r="G214" s="32" t="n">
        <v>17</v>
      </c>
      <c r="H214" s="3" t="n">
        <v>1</v>
      </c>
      <c r="I214" s="26" t="s">
        <v>53</v>
      </c>
      <c r="J214" s="26" t="n">
        <f aca="false">IF(I214="tl", 0, 1)</f>
        <v>0</v>
      </c>
      <c r="K214" s="26" t="s">
        <v>53</v>
      </c>
      <c r="L214" s="26" t="n">
        <f aca="false">IF(K214="tl", 0, 1)</f>
        <v>0</v>
      </c>
      <c r="M214" s="26" t="n">
        <v>674.54</v>
      </c>
      <c r="N214" s="26" t="n">
        <f aca="false">IF(M214="tl", 0, 1)</f>
        <v>1</v>
      </c>
      <c r="P214" s="23" t="n">
        <v>0</v>
      </c>
      <c r="Q214" s="23"/>
      <c r="R214" s="2" t="n">
        <f aca="false">IF(S214=C214, 1, 0)</f>
        <v>1</v>
      </c>
      <c r="S214" s="2" t="s">
        <v>58</v>
      </c>
      <c r="T214" s="2" t="n">
        <v>149</v>
      </c>
      <c r="U214" s="2" t="n">
        <v>541</v>
      </c>
      <c r="V214" s="2" t="s">
        <v>51</v>
      </c>
      <c r="W214" s="2" t="n">
        <v>17</v>
      </c>
      <c r="X214" s="2" t="n">
        <v>17</v>
      </c>
      <c r="Y214" s="2" t="n">
        <v>246.486</v>
      </c>
      <c r="Z214" s="2" t="n">
        <v>35.6462</v>
      </c>
      <c r="AA214" s="2" t="n">
        <v>2339</v>
      </c>
      <c r="AB214" s="2" t="n">
        <v>14</v>
      </c>
      <c r="AC214" s="2" t="n">
        <v>2313</v>
      </c>
      <c r="AD214" s="2" t="n">
        <v>3937</v>
      </c>
      <c r="AE214" s="2" t="n">
        <v>14</v>
      </c>
      <c r="AF214" s="2" t="n">
        <v>0</v>
      </c>
      <c r="AG214" s="2" t="n">
        <v>9</v>
      </c>
      <c r="AH214" s="2" t="n">
        <v>14.1905</v>
      </c>
      <c r="AI214" s="2" t="n">
        <v>60</v>
      </c>
      <c r="AJ214" s="2" t="n">
        <f aca="false">IF(V214="Optimal", 1, 0)</f>
        <v>1</v>
      </c>
      <c r="AK214" s="3" t="n">
        <f aca="false">IF(AJ214=1, W214-G214)</f>
        <v>0</v>
      </c>
      <c r="AL214" s="4" t="n">
        <f aca="false">IF(AND(AH214&lt;&gt;-1, G214&lt;&gt;"-", G214&lt;&gt;"."), ((G214-AH214)/G214)*100, -1)</f>
        <v>16.5264705882353</v>
      </c>
      <c r="AN214" s="5" t="n">
        <f aca="false">IF(AND(AO214=C214, A214=AP214), 1, 0)</f>
        <v>1</v>
      </c>
      <c r="AO214" s="5" t="s">
        <v>58</v>
      </c>
      <c r="AP214" s="5" t="n">
        <v>15</v>
      </c>
      <c r="AQ214" s="5" t="n">
        <v>3600</v>
      </c>
      <c r="AR214" s="5" t="n">
        <v>149</v>
      </c>
      <c r="AS214" s="5" t="n">
        <v>541</v>
      </c>
      <c r="AT214" s="28" t="n">
        <v>3600</v>
      </c>
      <c r="AU214" s="28" t="s">
        <v>54</v>
      </c>
      <c r="AV214" s="28" t="n">
        <v>146.126</v>
      </c>
      <c r="AW214" s="28" t="n">
        <v>123</v>
      </c>
      <c r="AX214" s="28" t="n">
        <v>26</v>
      </c>
      <c r="AY214" s="28" t="n">
        <v>2103</v>
      </c>
      <c r="AZ214" s="28" t="n">
        <v>7686</v>
      </c>
      <c r="BA214" s="28" t="n">
        <v>51</v>
      </c>
      <c r="BB214" s="6" t="n">
        <f aca="false">IF(AU214="Optimal", 1, 0)</f>
        <v>0</v>
      </c>
    </row>
    <row r="215" customFormat="false" ht="12.8" hidden="false" customHeight="false" outlineLevel="0" collapsed="false">
      <c r="A215" s="1" t="n">
        <v>15</v>
      </c>
      <c r="B215" s="23" t="s">
        <v>49</v>
      </c>
      <c r="C215" s="24" t="s">
        <v>59</v>
      </c>
      <c r="D215" s="32" t="n">
        <v>80</v>
      </c>
      <c r="E215" s="32" t="n">
        <v>346</v>
      </c>
      <c r="F215" s="32" t="n">
        <v>37</v>
      </c>
      <c r="G215" s="32" t="n">
        <v>17</v>
      </c>
      <c r="H215" s="3" t="n">
        <v>1</v>
      </c>
      <c r="I215" s="26" t="s">
        <v>53</v>
      </c>
      <c r="J215" s="26" t="n">
        <f aca="false">IF(I215="tl", 0, 1)</f>
        <v>0</v>
      </c>
      <c r="K215" s="26" t="n">
        <v>70.38</v>
      </c>
      <c r="L215" s="26" t="n">
        <f aca="false">IF(K215="tl", 0, 1)</f>
        <v>1</v>
      </c>
      <c r="M215" s="26" t="n">
        <v>2.89</v>
      </c>
      <c r="N215" s="26" t="n">
        <f aca="false">IF(M215="tl", 0, 1)</f>
        <v>1</v>
      </c>
      <c r="P215" s="23" t="n">
        <v>0</v>
      </c>
      <c r="Q215" s="23"/>
      <c r="R215" s="2" t="n">
        <f aca="false">IF(S215=C215, 1, 0)</f>
        <v>1</v>
      </c>
      <c r="S215" s="2" t="s">
        <v>59</v>
      </c>
      <c r="T215" s="2" t="n">
        <v>80</v>
      </c>
      <c r="U215" s="2" t="n">
        <v>346</v>
      </c>
      <c r="V215" s="2" t="s">
        <v>54</v>
      </c>
      <c r="W215" s="2" t="n">
        <v>42</v>
      </c>
      <c r="X215" s="2" t="n">
        <v>14.359</v>
      </c>
      <c r="Y215" s="2" t="n">
        <v>1800.08</v>
      </c>
      <c r="Z215" s="2" t="n">
        <v>483.641</v>
      </c>
      <c r="AA215" s="2" t="n">
        <v>16736</v>
      </c>
      <c r="AB215" s="2" t="n">
        <v>3</v>
      </c>
      <c r="AC215" s="2" t="n">
        <v>1464</v>
      </c>
      <c r="AD215" s="2" t="n">
        <v>2503</v>
      </c>
      <c r="AE215" s="2" t="n">
        <v>4</v>
      </c>
      <c r="AF215" s="2" t="n">
        <v>0</v>
      </c>
      <c r="AG215" s="2" t="n">
        <v>1</v>
      </c>
      <c r="AH215" s="2" t="n">
        <v>14.359</v>
      </c>
      <c r="AI215" s="2" t="n">
        <v>42</v>
      </c>
      <c r="AJ215" s="2" t="n">
        <f aca="false">IF(V215="Optimal", 1, 0)</f>
        <v>0</v>
      </c>
      <c r="AK215" s="29" t="b">
        <f aca="false">IF(AJ215=1, W215-G215)</f>
        <v>0</v>
      </c>
      <c r="AL215" s="4" t="n">
        <f aca="false">IF(AND(AH215&lt;&gt;-1, G215&lt;&gt;"-", G215&lt;&gt;"."), ((G215-AH215)/G215)*100, -1)</f>
        <v>15.5352941176471</v>
      </c>
      <c r="AN215" s="5" t="n">
        <f aca="false">IF(AND(AO215=C215, A215=AP215), 1, 0)</f>
        <v>1</v>
      </c>
      <c r="AO215" s="5" t="s">
        <v>59</v>
      </c>
      <c r="AP215" s="5" t="n">
        <v>15</v>
      </c>
      <c r="AQ215" s="5" t="n">
        <v>3600</v>
      </c>
      <c r="AR215" s="5" t="n">
        <v>80</v>
      </c>
      <c r="AS215" s="5" t="n">
        <v>346</v>
      </c>
      <c r="AT215" s="28" t="n">
        <v>3600</v>
      </c>
      <c r="AU215" s="28" t="s">
        <v>54</v>
      </c>
      <c r="AV215" s="28" t="n">
        <v>71.0006</v>
      </c>
      <c r="AW215" s="28" t="n">
        <v>63</v>
      </c>
      <c r="AX215" s="28" t="n">
        <v>17</v>
      </c>
      <c r="AY215" s="28" t="n">
        <v>995</v>
      </c>
      <c r="AZ215" s="28" t="n">
        <v>5121</v>
      </c>
      <c r="BA215" s="28" t="n">
        <v>36</v>
      </c>
      <c r="BB215" s="6" t="n">
        <f aca="false">IF(AU215="Optimal", 1, 0)</f>
        <v>0</v>
      </c>
    </row>
    <row r="216" customFormat="false" ht="12.8" hidden="false" customHeight="false" outlineLevel="0" collapsed="false">
      <c r="A216" s="1" t="n">
        <v>15</v>
      </c>
      <c r="B216" s="23" t="s">
        <v>49</v>
      </c>
      <c r="C216" s="24" t="s">
        <v>60</v>
      </c>
      <c r="D216" s="32" t="n">
        <v>56</v>
      </c>
      <c r="E216" s="32" t="n">
        <v>110</v>
      </c>
      <c r="F216" s="32" t="n">
        <v>27</v>
      </c>
      <c r="G216" s="32" t="n">
        <v>16</v>
      </c>
      <c r="H216" s="3" t="n">
        <v>1</v>
      </c>
      <c r="I216" s="26" t="s">
        <v>53</v>
      </c>
      <c r="J216" s="26" t="n">
        <f aca="false">IF(I216="tl", 0, 1)</f>
        <v>0</v>
      </c>
      <c r="K216" s="26" t="n">
        <v>24.64</v>
      </c>
      <c r="L216" s="26" t="n">
        <f aca="false">IF(K216="tl", 0, 1)</f>
        <v>1</v>
      </c>
      <c r="M216" s="26" t="n">
        <v>2.59</v>
      </c>
      <c r="N216" s="26" t="n">
        <f aca="false">IF(M216="tl", 0, 1)</f>
        <v>1</v>
      </c>
      <c r="P216" s="23" t="n">
        <v>0</v>
      </c>
      <c r="Q216" s="23"/>
      <c r="R216" s="2" t="n">
        <f aca="false">IF(S216=C216, 1, 0)</f>
        <v>1</v>
      </c>
      <c r="S216" s="2" t="s">
        <v>60</v>
      </c>
      <c r="T216" s="2" t="n">
        <v>56</v>
      </c>
      <c r="U216" s="2" t="n">
        <v>110</v>
      </c>
      <c r="V216" s="2" t="s">
        <v>51</v>
      </c>
      <c r="W216" s="2" t="n">
        <v>16</v>
      </c>
      <c r="X216" s="2" t="n">
        <v>16</v>
      </c>
      <c r="Y216" s="2" t="n">
        <v>1.09793</v>
      </c>
      <c r="Z216" s="2" t="n">
        <v>0.606442</v>
      </c>
      <c r="AA216" s="2" t="n">
        <v>197</v>
      </c>
      <c r="AB216" s="2" t="n">
        <v>7</v>
      </c>
      <c r="AC216" s="2" t="n">
        <v>496</v>
      </c>
      <c r="AD216" s="2" t="n">
        <v>827</v>
      </c>
      <c r="AE216" s="2" t="n">
        <v>2</v>
      </c>
      <c r="AF216" s="2" t="n">
        <v>0</v>
      </c>
      <c r="AG216" s="2" t="n">
        <v>3</v>
      </c>
      <c r="AH216" s="2" t="n">
        <v>14.5185</v>
      </c>
      <c r="AI216" s="2" t="n">
        <v>26</v>
      </c>
      <c r="AJ216" s="2" t="n">
        <f aca="false">IF(V216="Optimal", 1, 0)</f>
        <v>1</v>
      </c>
      <c r="AK216" s="3" t="n">
        <f aca="false">IF(AJ216=1, W216-G216)</f>
        <v>0</v>
      </c>
      <c r="AL216" s="4" t="n">
        <f aca="false">IF(AND(AH216&lt;&gt;-1, G216&lt;&gt;"-", G216&lt;&gt;"."), ((G216-AH216)/G216)*100, -1)</f>
        <v>9.259375</v>
      </c>
      <c r="AN216" s="5" t="n">
        <f aca="false">IF(AND(AO216=C216, A216=AP216), 1, 0)</f>
        <v>1</v>
      </c>
      <c r="AO216" s="5" t="s">
        <v>60</v>
      </c>
      <c r="AP216" s="5" t="n">
        <v>15</v>
      </c>
      <c r="AQ216" s="5" t="n">
        <v>3600</v>
      </c>
      <c r="AR216" s="5" t="n">
        <v>56</v>
      </c>
      <c r="AS216" s="5" t="n">
        <v>110</v>
      </c>
      <c r="AT216" s="28" t="n">
        <v>3600</v>
      </c>
      <c r="AU216" s="28" t="s">
        <v>54</v>
      </c>
      <c r="AV216" s="28" t="n">
        <v>47.4171</v>
      </c>
      <c r="AW216" s="28" t="n">
        <v>40</v>
      </c>
      <c r="AX216" s="28" t="n">
        <v>16</v>
      </c>
      <c r="AY216" s="28" t="n">
        <v>661</v>
      </c>
      <c r="AZ216" s="28" t="n">
        <v>2957</v>
      </c>
      <c r="BA216" s="28" t="n">
        <v>51169</v>
      </c>
      <c r="BB216" s="6" t="n">
        <f aca="false">IF(AU216="Optimal", 1, 0)</f>
        <v>0</v>
      </c>
    </row>
    <row r="217" customFormat="false" ht="12.8" hidden="false" customHeight="false" outlineLevel="0" collapsed="false">
      <c r="A217" s="1" t="n">
        <v>15</v>
      </c>
      <c r="B217" s="23" t="s">
        <v>49</v>
      </c>
      <c r="C217" s="24" t="s">
        <v>61</v>
      </c>
      <c r="D217" s="32" t="n">
        <v>114</v>
      </c>
      <c r="E217" s="32" t="n">
        <v>541</v>
      </c>
      <c r="F217" s="32" t="n">
        <v>55</v>
      </c>
      <c r="G217" s="32" t="n">
        <v>18</v>
      </c>
      <c r="H217" s="3" t="n">
        <v>1</v>
      </c>
      <c r="I217" s="26" t="s">
        <v>53</v>
      </c>
      <c r="J217" s="26" t="n">
        <f aca="false">IF(I217="tl", 0, 1)</f>
        <v>0</v>
      </c>
      <c r="K217" s="26" t="s">
        <v>53</v>
      </c>
      <c r="L217" s="26" t="n">
        <f aca="false">IF(K217="tl", 0, 1)</f>
        <v>0</v>
      </c>
      <c r="M217" s="26" t="n">
        <v>159.96</v>
      </c>
      <c r="N217" s="26" t="n">
        <f aca="false">IF(M217="tl", 0, 1)</f>
        <v>1</v>
      </c>
      <c r="P217" s="23" t="n">
        <v>0</v>
      </c>
      <c r="Q217" s="23"/>
      <c r="R217" s="2" t="n">
        <f aca="false">IF(S217=C217, 1, 0)</f>
        <v>1</v>
      </c>
      <c r="S217" s="2" t="s">
        <v>61</v>
      </c>
      <c r="T217" s="2" t="n">
        <v>114</v>
      </c>
      <c r="U217" s="2" t="n">
        <v>541</v>
      </c>
      <c r="V217" s="2" t="s">
        <v>54</v>
      </c>
      <c r="W217" s="2" t="n">
        <v>43</v>
      </c>
      <c r="X217" s="2" t="n">
        <v>15.1667</v>
      </c>
      <c r="Y217" s="2" t="n">
        <v>1800.03</v>
      </c>
      <c r="Z217" s="2" t="n">
        <v>313.003</v>
      </c>
      <c r="AA217" s="2" t="n">
        <v>19527</v>
      </c>
      <c r="AB217" s="2" t="n">
        <v>11</v>
      </c>
      <c r="AC217" s="2" t="n">
        <v>2278</v>
      </c>
      <c r="AD217" s="2" t="n">
        <v>3902</v>
      </c>
      <c r="AE217" s="2" t="n">
        <v>5</v>
      </c>
      <c r="AF217" s="2" t="n">
        <v>0</v>
      </c>
      <c r="AG217" s="2" t="n">
        <v>8</v>
      </c>
      <c r="AH217" s="2" t="n">
        <v>14.25</v>
      </c>
      <c r="AI217" s="2" t="n">
        <v>65</v>
      </c>
      <c r="AJ217" s="2" t="n">
        <f aca="false">IF(V217="Optimal", 1, 0)</f>
        <v>0</v>
      </c>
      <c r="AK217" s="29" t="b">
        <f aca="false">IF(AJ217=1, W217-G217)</f>
        <v>0</v>
      </c>
      <c r="AL217" s="4" t="n">
        <f aca="false">IF(AND(AH217&lt;&gt;-1, G217&lt;&gt;"-", G217&lt;&gt;"."), ((G217-AH217)/G217)*100, -1)</f>
        <v>20.8333333333333</v>
      </c>
      <c r="AN217" s="5" t="n">
        <f aca="false">IF(AND(AO217=C217, A217=AP217), 1, 0)</f>
        <v>1</v>
      </c>
      <c r="AO217" s="5" t="s">
        <v>61</v>
      </c>
      <c r="AP217" s="5" t="n">
        <v>15</v>
      </c>
      <c r="AQ217" s="5" t="n">
        <v>3600</v>
      </c>
      <c r="AR217" s="5" t="n">
        <v>114</v>
      </c>
      <c r="AS217" s="5" t="n">
        <v>541</v>
      </c>
      <c r="AT217" s="28" t="n">
        <v>3600</v>
      </c>
      <c r="AU217" s="28" t="s">
        <v>54</v>
      </c>
      <c r="AV217" s="28" t="n">
        <v>109.018</v>
      </c>
      <c r="AW217" s="28" t="n">
        <v>96</v>
      </c>
      <c r="AX217" s="28" t="n">
        <v>18</v>
      </c>
      <c r="AY217" s="28" t="n">
        <v>1517</v>
      </c>
      <c r="AZ217" s="28" t="n">
        <v>7610</v>
      </c>
      <c r="BA217" s="28" t="n">
        <v>354</v>
      </c>
      <c r="BB217" s="6" t="n">
        <f aca="false">IF(AU217="Optimal", 1, 0)</f>
        <v>0</v>
      </c>
    </row>
    <row r="218" customFormat="false" ht="12.8" hidden="false" customHeight="false" outlineLevel="0" collapsed="false">
      <c r="A218" s="1" t="n">
        <v>15</v>
      </c>
      <c r="B218" s="23" t="s">
        <v>49</v>
      </c>
      <c r="C218" s="24" t="s">
        <v>62</v>
      </c>
      <c r="D218" s="32" t="n">
        <v>79</v>
      </c>
      <c r="E218" s="32" t="n">
        <v>156</v>
      </c>
      <c r="F218" s="32" t="n">
        <v>39</v>
      </c>
      <c r="G218" s="32" t="n">
        <v>16</v>
      </c>
      <c r="H218" s="3" t="n">
        <v>1</v>
      </c>
      <c r="I218" s="26" t="s">
        <v>53</v>
      </c>
      <c r="J218" s="26" t="n">
        <f aca="false">IF(I218="tl", 0, 1)</f>
        <v>0</v>
      </c>
      <c r="K218" s="26" t="n">
        <v>34.5</v>
      </c>
      <c r="L218" s="26" t="n">
        <f aca="false">IF(K218="tl", 0, 1)</f>
        <v>1</v>
      </c>
      <c r="M218" s="26" t="n">
        <v>19.13</v>
      </c>
      <c r="N218" s="26" t="n">
        <f aca="false">IF(M218="tl", 0, 1)</f>
        <v>1</v>
      </c>
      <c r="P218" s="23" t="n">
        <v>0</v>
      </c>
      <c r="Q218" s="23"/>
      <c r="R218" s="2" t="n">
        <f aca="false">IF(S218=C218, 1, 0)</f>
        <v>1</v>
      </c>
      <c r="S218" s="2" t="s">
        <v>62</v>
      </c>
      <c r="T218" s="2" t="n">
        <v>79</v>
      </c>
      <c r="U218" s="2" t="n">
        <v>156</v>
      </c>
      <c r="V218" s="2" t="s">
        <v>51</v>
      </c>
      <c r="W218" s="2" t="n">
        <v>16</v>
      </c>
      <c r="X218" s="2" t="n">
        <v>16</v>
      </c>
      <c r="Y218" s="2" t="n">
        <v>7.39401</v>
      </c>
      <c r="Z218" s="2" t="n">
        <v>4.15048</v>
      </c>
      <c r="AA218" s="2" t="n">
        <v>555</v>
      </c>
      <c r="AB218" s="2" t="n">
        <v>29</v>
      </c>
      <c r="AC218" s="2" t="n">
        <v>703</v>
      </c>
      <c r="AD218" s="2" t="n">
        <v>1172</v>
      </c>
      <c r="AE218" s="2" t="n">
        <v>3</v>
      </c>
      <c r="AF218" s="2" t="n">
        <v>0</v>
      </c>
      <c r="AG218" s="2" t="n">
        <v>13</v>
      </c>
      <c r="AH218" s="2" t="n">
        <v>14.3636</v>
      </c>
      <c r="AI218" s="2" t="n">
        <v>32</v>
      </c>
      <c r="AJ218" s="2" t="n">
        <f aca="false">IF(V218="Optimal", 1, 0)</f>
        <v>1</v>
      </c>
      <c r="AK218" s="3" t="n">
        <f aca="false">IF(AJ218=1, W218-G218)</f>
        <v>0</v>
      </c>
      <c r="AL218" s="4" t="n">
        <f aca="false">IF(AND(AH218&lt;&gt;-1, G218&lt;&gt;"-", G218&lt;&gt;"."), ((G218-AH218)/G218)*100, -1)</f>
        <v>10.2275</v>
      </c>
      <c r="AN218" s="5" t="n">
        <f aca="false">IF(AND(AO218=C218, A218=AP218), 1, 0)</f>
        <v>1</v>
      </c>
      <c r="AO218" s="5" t="s">
        <v>62</v>
      </c>
      <c r="AP218" s="5" t="n">
        <v>15</v>
      </c>
      <c r="AQ218" s="5" t="n">
        <v>3600</v>
      </c>
      <c r="AR218" s="5" t="n">
        <v>79</v>
      </c>
      <c r="AS218" s="5" t="n">
        <v>156</v>
      </c>
      <c r="AT218" s="28" t="n">
        <v>3600</v>
      </c>
      <c r="AU218" s="28" t="s">
        <v>54</v>
      </c>
      <c r="AV218" s="28" t="n">
        <v>72.9856</v>
      </c>
      <c r="AW218" s="28" t="n">
        <v>63</v>
      </c>
      <c r="AX218" s="28" t="n">
        <v>16</v>
      </c>
      <c r="AY218" s="28" t="n">
        <v>1010</v>
      </c>
      <c r="AZ218" s="28" t="n">
        <v>3431</v>
      </c>
      <c r="BA218" s="28" t="n">
        <v>14748</v>
      </c>
      <c r="BB218" s="6" t="n">
        <f aca="false">IF(AU218="Optimal", 1, 0)</f>
        <v>0</v>
      </c>
    </row>
    <row r="219" customFormat="false" ht="12.8" hidden="false" customHeight="false" outlineLevel="0" collapsed="false">
      <c r="A219" s="1" t="n">
        <v>15</v>
      </c>
      <c r="B219" s="23" t="s">
        <v>49</v>
      </c>
      <c r="C219" s="24" t="s">
        <v>63</v>
      </c>
      <c r="D219" s="32" t="n">
        <v>154</v>
      </c>
      <c r="E219" s="32" t="n">
        <v>792</v>
      </c>
      <c r="F219" s="32" t="n">
        <v>72</v>
      </c>
      <c r="G219" s="32" t="n">
        <v>19</v>
      </c>
      <c r="H219" s="3" t="n">
        <v>1</v>
      </c>
      <c r="I219" s="26" t="s">
        <v>53</v>
      </c>
      <c r="J219" s="26" t="n">
        <f aca="false">IF(I219="tl", 0, 1)</f>
        <v>0</v>
      </c>
      <c r="K219" s="26" t="s">
        <v>53</v>
      </c>
      <c r="L219" s="26" t="n">
        <f aca="false">IF(K219="tl", 0, 1)</f>
        <v>0</v>
      </c>
      <c r="M219" s="26" t="n">
        <v>247.28</v>
      </c>
      <c r="N219" s="26" t="n">
        <f aca="false">IF(M219="tl", 0, 1)</f>
        <v>1</v>
      </c>
      <c r="P219" s="23" t="n">
        <v>0</v>
      </c>
      <c r="Q219" s="23"/>
      <c r="R219" s="2" t="n">
        <f aca="false">IF(S219=C219, 1, 0)</f>
        <v>1</v>
      </c>
      <c r="S219" s="2" t="s">
        <v>63</v>
      </c>
      <c r="T219" s="2" t="n">
        <v>154</v>
      </c>
      <c r="U219" s="2" t="n">
        <v>792</v>
      </c>
      <c r="V219" s="2" t="s">
        <v>54</v>
      </c>
      <c r="W219" s="2" t="n">
        <v>68</v>
      </c>
      <c r="X219" s="2" t="n">
        <v>14.1842</v>
      </c>
      <c r="Y219" s="2" t="n">
        <v>1800</v>
      </c>
      <c r="Z219" s="2" t="n">
        <v>68.3481</v>
      </c>
      <c r="AA219" s="2" t="n">
        <v>9976</v>
      </c>
      <c r="AB219" s="2" t="n">
        <v>3</v>
      </c>
      <c r="AC219" s="2" t="n">
        <v>3322</v>
      </c>
      <c r="AD219" s="2" t="n">
        <v>5699</v>
      </c>
      <c r="AE219" s="2" t="n">
        <v>15</v>
      </c>
      <c r="AF219" s="2" t="n">
        <v>0</v>
      </c>
      <c r="AG219" s="2" t="n">
        <v>1</v>
      </c>
      <c r="AH219" s="2" t="n">
        <v>14.1842</v>
      </c>
      <c r="AI219" s="2" t="n">
        <v>68</v>
      </c>
      <c r="AJ219" s="2" t="n">
        <f aca="false">IF(V219="Optimal", 1, 0)</f>
        <v>0</v>
      </c>
      <c r="AK219" s="29" t="b">
        <f aca="false">IF(AJ219=1, W219-G219)</f>
        <v>0</v>
      </c>
      <c r="AL219" s="4" t="n">
        <f aca="false">IF(AND(AH219&lt;&gt;-1, G219&lt;&gt;"-", G219&lt;&gt;"."), ((G219-AH219)/G219)*100, -1)</f>
        <v>25.3463157894737</v>
      </c>
      <c r="AN219" s="5" t="n">
        <f aca="false">IF(AND(AO219=C219, A219=AP219), 1, 0)</f>
        <v>1</v>
      </c>
      <c r="AO219" s="5" t="s">
        <v>63</v>
      </c>
      <c r="AP219" s="5" t="n">
        <v>15</v>
      </c>
      <c r="AQ219" s="5" t="n">
        <v>3600</v>
      </c>
      <c r="AR219" s="5" t="n">
        <v>154</v>
      </c>
      <c r="AS219" s="5" t="n">
        <v>792</v>
      </c>
      <c r="AT219" s="28" t="n">
        <v>3600</v>
      </c>
      <c r="AU219" s="28" t="s">
        <v>54</v>
      </c>
      <c r="AV219" s="28" t="n">
        <v>150.516</v>
      </c>
      <c r="AW219" s="28" t="n">
        <v>135</v>
      </c>
      <c r="AX219" s="28" t="n">
        <v>19</v>
      </c>
      <c r="AY219" s="28" t="n">
        <v>2141</v>
      </c>
      <c r="AZ219" s="28" t="n">
        <v>11510</v>
      </c>
      <c r="BA219" s="28" t="n">
        <v>49</v>
      </c>
      <c r="BB219" s="6" t="n">
        <f aca="false">IF(AU219="Optimal", 1, 0)</f>
        <v>0</v>
      </c>
    </row>
    <row r="220" customFormat="false" ht="12.8" hidden="false" customHeight="false" outlineLevel="0" collapsed="false">
      <c r="A220" s="1" t="n">
        <v>15</v>
      </c>
      <c r="B220" s="23" t="s">
        <v>64</v>
      </c>
      <c r="C220" s="24" t="s">
        <v>65</v>
      </c>
      <c r="D220" s="32" t="n">
        <v>112</v>
      </c>
      <c r="E220" s="32" t="n">
        <v>425</v>
      </c>
      <c r="F220" s="32" t="n">
        <v>53</v>
      </c>
      <c r="G220" s="32" t="n">
        <v>11</v>
      </c>
      <c r="H220" s="3" t="n">
        <v>1</v>
      </c>
      <c r="I220" s="26" t="n">
        <v>854.49</v>
      </c>
      <c r="J220" s="26" t="n">
        <f aca="false">IF(I220="tl", 0, 1)</f>
        <v>1</v>
      </c>
      <c r="K220" s="26" t="s">
        <v>53</v>
      </c>
      <c r="L220" s="26" t="n">
        <f aca="false">IF(K220="tl", 0, 1)</f>
        <v>0</v>
      </c>
      <c r="M220" s="26" t="n">
        <v>10.71</v>
      </c>
      <c r="N220" s="26" t="n">
        <f aca="false">IF(M220="tl", 0, 1)</f>
        <v>1</v>
      </c>
      <c r="P220" s="23" t="n">
        <v>0</v>
      </c>
      <c r="Q220" s="23"/>
      <c r="R220" s="2" t="n">
        <f aca="false">IF(S220=C220, 1, 0)</f>
        <v>1</v>
      </c>
      <c r="S220" s="2" t="s">
        <v>65</v>
      </c>
      <c r="T220" s="2" t="n">
        <v>112</v>
      </c>
      <c r="U220" s="2" t="n">
        <v>425</v>
      </c>
      <c r="V220" s="2" t="s">
        <v>51</v>
      </c>
      <c r="W220" s="2" t="n">
        <v>11</v>
      </c>
      <c r="X220" s="2" t="n">
        <v>11</v>
      </c>
      <c r="Y220" s="2" t="n">
        <v>5.10793</v>
      </c>
      <c r="Z220" s="2" t="n">
        <v>1.79471</v>
      </c>
      <c r="AA220" s="2" t="n">
        <v>659</v>
      </c>
      <c r="AB220" s="2" t="n">
        <v>3</v>
      </c>
      <c r="AC220" s="2" t="n">
        <v>1812</v>
      </c>
      <c r="AD220" s="2" t="n">
        <v>3088</v>
      </c>
      <c r="AE220" s="2" t="n">
        <v>17</v>
      </c>
      <c r="AF220" s="2" t="n">
        <v>0</v>
      </c>
      <c r="AG220" s="2" t="n">
        <v>2</v>
      </c>
      <c r="AH220" s="2" t="n">
        <v>10.5172</v>
      </c>
      <c r="AI220" s="2" t="n">
        <v>36</v>
      </c>
      <c r="AJ220" s="2" t="n">
        <f aca="false">IF(V220="Optimal", 1, 0)</f>
        <v>1</v>
      </c>
      <c r="AK220" s="3" t="n">
        <f aca="false">IF(AJ220=1, W220-G220)</f>
        <v>0</v>
      </c>
      <c r="AL220" s="4" t="n">
        <f aca="false">IF(AND(AH220&lt;&gt;-1, G220&lt;&gt;"-", G220&lt;&gt;"."), ((G220-AH220)/G220)*100, -1)</f>
        <v>4.3890909090909</v>
      </c>
      <c r="AN220" s="5" t="n">
        <f aca="false">IF(AND(AO220=C220, A220=AP220), 1, 0)</f>
        <v>1</v>
      </c>
      <c r="AO220" s="5" t="s">
        <v>65</v>
      </c>
      <c r="AP220" s="5" t="n">
        <v>15</v>
      </c>
      <c r="AQ220" s="5" t="n">
        <v>3600</v>
      </c>
      <c r="AR220" s="5" t="n">
        <v>112</v>
      </c>
      <c r="AS220" s="5" t="n">
        <v>425</v>
      </c>
      <c r="AT220" s="28" t="n">
        <v>3600.12</v>
      </c>
      <c r="AU220" s="28" t="s">
        <v>54</v>
      </c>
      <c r="AV220" s="28" t="n">
        <v>105.613</v>
      </c>
      <c r="AW220" s="28" t="n">
        <v>101</v>
      </c>
      <c r="AX220" s="28" t="n">
        <v>11</v>
      </c>
      <c r="AY220" s="28" t="n">
        <v>1486</v>
      </c>
      <c r="AZ220" s="28" t="n">
        <v>5273</v>
      </c>
      <c r="BA220" s="28" t="n">
        <v>1</v>
      </c>
      <c r="BB220" s="6" t="n">
        <f aca="false">IF(AU220="Optimal", 1, 0)</f>
        <v>0</v>
      </c>
    </row>
    <row r="221" customFormat="false" ht="12.8" hidden="false" customHeight="false" outlineLevel="0" collapsed="false">
      <c r="A221" s="1" t="n">
        <v>15</v>
      </c>
      <c r="B221" s="23" t="s">
        <v>49</v>
      </c>
      <c r="C221" s="24" t="s">
        <v>66</v>
      </c>
      <c r="D221" s="32" t="n">
        <v>138</v>
      </c>
      <c r="E221" s="32" t="n">
        <v>493</v>
      </c>
      <c r="F221" s="32" t="n">
        <v>80</v>
      </c>
      <c r="G221" s="32" t="n">
        <v>2</v>
      </c>
      <c r="H221" s="3" t="n">
        <v>1</v>
      </c>
      <c r="I221" s="26" t="n">
        <v>0.73</v>
      </c>
      <c r="J221" s="26" t="n">
        <f aca="false">IF(I221="tl", 0, 1)</f>
        <v>1</v>
      </c>
      <c r="K221" s="26" t="n">
        <v>23.51</v>
      </c>
      <c r="L221" s="26" t="n">
        <f aca="false">IF(K221="tl", 0, 1)</f>
        <v>1</v>
      </c>
      <c r="M221" s="26" t="n">
        <v>0.01</v>
      </c>
      <c r="N221" s="26" t="n">
        <f aca="false">IF(M221="tl", 0, 1)</f>
        <v>1</v>
      </c>
      <c r="P221" s="23" t="n">
        <v>0</v>
      </c>
      <c r="Q221" s="23"/>
      <c r="R221" s="2" t="n">
        <f aca="false">IF(S221=C221, 1, 0)</f>
        <v>1</v>
      </c>
      <c r="S221" s="2" t="s">
        <v>66</v>
      </c>
      <c r="T221" s="2" t="n">
        <v>138</v>
      </c>
      <c r="U221" s="2" t="n">
        <v>493</v>
      </c>
      <c r="V221" s="2" t="s">
        <v>51</v>
      </c>
      <c r="W221" s="2" t="n">
        <v>2</v>
      </c>
      <c r="X221" s="2" t="n">
        <v>2</v>
      </c>
      <c r="Y221" s="2" t="n">
        <v>24.4511</v>
      </c>
      <c r="Z221" s="2" t="n">
        <v>2.61017</v>
      </c>
      <c r="AA221" s="2" t="n">
        <v>1196</v>
      </c>
      <c r="AB221" s="2" t="n">
        <v>1</v>
      </c>
      <c r="AC221" s="2" t="n">
        <v>2110</v>
      </c>
      <c r="AD221" s="2" t="n">
        <v>3590</v>
      </c>
      <c r="AE221" s="2" t="n">
        <v>565</v>
      </c>
      <c r="AF221" s="2" t="n">
        <v>0</v>
      </c>
      <c r="AG221" s="2" t="n">
        <v>0</v>
      </c>
      <c r="AH221" s="2" t="n">
        <v>-1</v>
      </c>
      <c r="AI221" s="2" t="n">
        <v>-1</v>
      </c>
      <c r="AJ221" s="2" t="n">
        <f aca="false">IF(V221="Optimal", 1, 0)</f>
        <v>1</v>
      </c>
      <c r="AK221" s="3" t="n">
        <f aca="false">IF(AJ221=1, W221-G221)</f>
        <v>0</v>
      </c>
      <c r="AL221" s="4" t="n">
        <f aca="false">IF(AND(AH221&lt;&gt;-1, G221&lt;&gt;"-", G221&lt;&gt;"."), ((G221-AH221)/G221)*100, -1)</f>
        <v>-1</v>
      </c>
      <c r="AN221" s="5" t="n">
        <f aca="false">IF(AND(AO221=C221, A221=AP221), 1, 0)</f>
        <v>1</v>
      </c>
      <c r="AO221" s="5" t="s">
        <v>66</v>
      </c>
      <c r="AP221" s="5" t="n">
        <v>15</v>
      </c>
      <c r="AQ221" s="5" t="n">
        <v>3600</v>
      </c>
      <c r="AR221" s="5" t="n">
        <v>138</v>
      </c>
      <c r="AS221" s="5" t="n">
        <v>493</v>
      </c>
      <c r="AT221" s="28" t="n">
        <v>223.485</v>
      </c>
      <c r="AU221" s="28" t="s">
        <v>51</v>
      </c>
      <c r="AV221" s="28" t="n">
        <v>136</v>
      </c>
      <c r="AW221" s="28" t="n">
        <v>136</v>
      </c>
      <c r="AX221" s="28" t="n">
        <v>2</v>
      </c>
      <c r="AY221" s="28" t="n">
        <v>1965</v>
      </c>
      <c r="AZ221" s="28" t="n">
        <v>2296</v>
      </c>
      <c r="BA221" s="28" t="n">
        <v>30</v>
      </c>
      <c r="BB221" s="6" t="n">
        <f aca="false">IF(AU221="Optimal", 1, 0)</f>
        <v>1</v>
      </c>
    </row>
    <row r="222" customFormat="false" ht="12.8" hidden="false" customHeight="false" outlineLevel="0" collapsed="false">
      <c r="A222" s="1" t="n">
        <v>15</v>
      </c>
      <c r="B222" s="23" t="s">
        <v>67</v>
      </c>
      <c r="C222" s="24" t="s">
        <v>69</v>
      </c>
      <c r="D222" s="32" t="n">
        <v>85</v>
      </c>
      <c r="E222" s="32" t="n">
        <v>219</v>
      </c>
      <c r="F222" s="32" t="n">
        <v>29</v>
      </c>
      <c r="G222" s="32" t="n">
        <v>26</v>
      </c>
      <c r="H222" s="3" t="n">
        <v>1</v>
      </c>
      <c r="I222" s="25" t="s">
        <v>53</v>
      </c>
      <c r="J222" s="26" t="n">
        <f aca="false">IF(I222="tl", 0, 1)</f>
        <v>0</v>
      </c>
      <c r="K222" s="25" t="n">
        <v>435.94</v>
      </c>
      <c r="L222" s="26" t="n">
        <f aca="false">IF(K222="tl", 0, 1)</f>
        <v>1</v>
      </c>
      <c r="M222" s="25" t="s">
        <v>53</v>
      </c>
      <c r="N222" s="26" t="n">
        <f aca="false">IF(M222="tl", 0, 1)</f>
        <v>0</v>
      </c>
      <c r="P222" s="23" t="n">
        <v>0</v>
      </c>
      <c r="Q222" s="23"/>
      <c r="R222" s="2" t="n">
        <f aca="false">IF(S222=C222, 1, 0)</f>
        <v>1</v>
      </c>
      <c r="S222" s="2" t="s">
        <v>69</v>
      </c>
      <c r="T222" s="2" t="n">
        <v>85</v>
      </c>
      <c r="U222" s="2" t="n">
        <v>219</v>
      </c>
      <c r="V222" s="2" t="s">
        <v>54</v>
      </c>
      <c r="W222" s="2" t="n">
        <v>26</v>
      </c>
      <c r="X222" s="2" t="n">
        <v>18.75</v>
      </c>
      <c r="Y222" s="2" t="n">
        <v>1802.68</v>
      </c>
      <c r="Z222" s="2" t="n">
        <v>1561.08</v>
      </c>
      <c r="AA222" s="2" t="n">
        <v>16175</v>
      </c>
      <c r="AB222" s="2" t="n">
        <v>800</v>
      </c>
      <c r="AC222" s="2" t="n">
        <v>961</v>
      </c>
      <c r="AD222" s="2" t="n">
        <v>1619</v>
      </c>
      <c r="AE222" s="2" t="n">
        <v>25</v>
      </c>
      <c r="AF222" s="2" t="n">
        <v>0</v>
      </c>
      <c r="AG222" s="2" t="n">
        <v>21</v>
      </c>
      <c r="AH222" s="2" t="n">
        <v>14.3373</v>
      </c>
      <c r="AI222" s="2" t="n">
        <v>51</v>
      </c>
      <c r="AJ222" s="2" t="n">
        <f aca="false">IF(V222="Optimal", 1, 0)</f>
        <v>0</v>
      </c>
      <c r="AK222" s="29" t="b">
        <f aca="false">IF(AJ222=1, W222-G222)</f>
        <v>0</v>
      </c>
      <c r="AL222" s="4" t="n">
        <f aca="false">IF(AND(AH222&lt;&gt;-1, G222&lt;&gt;"-", G222&lt;&gt;"."), ((G222-AH222)/G222)*100, -1)</f>
        <v>44.8565384615385</v>
      </c>
      <c r="AN222" s="5" t="n">
        <f aca="false">IF(AND(AO222=C222, A222=AP222), 1, 0)</f>
        <v>1</v>
      </c>
      <c r="AO222" s="5" t="s">
        <v>69</v>
      </c>
      <c r="AP222" s="5" t="n">
        <v>15</v>
      </c>
      <c r="AQ222" s="5" t="n">
        <v>3600</v>
      </c>
      <c r="AR222" s="5" t="n">
        <v>85</v>
      </c>
      <c r="AS222" s="5" t="n">
        <v>219</v>
      </c>
      <c r="AT222" s="28" t="n">
        <v>3600</v>
      </c>
      <c r="AU222" s="28" t="s">
        <v>54</v>
      </c>
      <c r="AV222" s="28" t="n">
        <v>81.1811</v>
      </c>
      <c r="AW222" s="28" t="n">
        <v>57</v>
      </c>
      <c r="AX222" s="28" t="n">
        <v>28</v>
      </c>
      <c r="AY222" s="28" t="n">
        <v>1133</v>
      </c>
      <c r="AZ222" s="28" t="n">
        <v>4103</v>
      </c>
      <c r="BA222" s="28" t="n">
        <v>3173</v>
      </c>
      <c r="BB222" s="6" t="n">
        <f aca="false">IF(AU222="Optimal", 1, 0)</f>
        <v>0</v>
      </c>
    </row>
    <row r="223" customFormat="false" ht="12.8" hidden="false" customHeight="false" outlineLevel="0" collapsed="false">
      <c r="A223" s="1" t="n">
        <v>15</v>
      </c>
      <c r="B223" s="23" t="s">
        <v>67</v>
      </c>
      <c r="C223" s="24" t="s">
        <v>70</v>
      </c>
      <c r="D223" s="32" t="n">
        <v>104</v>
      </c>
      <c r="E223" s="32" t="n">
        <v>331</v>
      </c>
      <c r="F223" s="32" t="n">
        <v>30</v>
      </c>
      <c r="G223" s="32" t="s">
        <v>77</v>
      </c>
      <c r="H223" s="3" t="n">
        <v>0</v>
      </c>
      <c r="I223" s="25" t="s">
        <v>53</v>
      </c>
      <c r="J223" s="26" t="n">
        <f aca="false">IF(I223="tl", 0, 1)</f>
        <v>0</v>
      </c>
      <c r="K223" s="25" t="s">
        <v>53</v>
      </c>
      <c r="L223" s="26" t="n">
        <f aca="false">IF(K223="tl", 0, 1)</f>
        <v>0</v>
      </c>
      <c r="M223" s="25" t="s">
        <v>53</v>
      </c>
      <c r="N223" s="26" t="n">
        <f aca="false">IF(M223="tl", 0, 1)</f>
        <v>0</v>
      </c>
      <c r="P223" s="23" t="n">
        <v>0</v>
      </c>
      <c r="Q223" s="23"/>
      <c r="R223" s="2" t="n">
        <f aca="false">IF(S223=C223, 1, 0)</f>
        <v>1</v>
      </c>
      <c r="S223" s="2" t="s">
        <v>70</v>
      </c>
      <c r="T223" s="2" t="n">
        <v>104</v>
      </c>
      <c r="U223" s="2" t="n">
        <v>331</v>
      </c>
      <c r="V223" s="2" t="s">
        <v>54</v>
      </c>
      <c r="W223" s="2" t="n">
        <v>36</v>
      </c>
      <c r="X223" s="2" t="n">
        <v>16.9091</v>
      </c>
      <c r="Y223" s="2" t="n">
        <v>1800</v>
      </c>
      <c r="Z223" s="2" t="n">
        <v>1340.46</v>
      </c>
      <c r="AA223" s="2" t="n">
        <v>12650</v>
      </c>
      <c r="AB223" s="2" t="n">
        <v>521</v>
      </c>
      <c r="AC223" s="2" t="n">
        <v>1428</v>
      </c>
      <c r="AD223" s="2" t="n">
        <v>2422</v>
      </c>
      <c r="AE223" s="2" t="n">
        <v>44</v>
      </c>
      <c r="AF223" s="2" t="n">
        <v>0</v>
      </c>
      <c r="AG223" s="2" t="n">
        <v>34</v>
      </c>
      <c r="AH223" s="2" t="n">
        <v>14.2745</v>
      </c>
      <c r="AI223" s="2" t="n">
        <v>61</v>
      </c>
      <c r="AJ223" s="2" t="n">
        <f aca="false">IF(V223="Optimal", 1, 0)</f>
        <v>0</v>
      </c>
      <c r="AK223" s="29" t="b">
        <f aca="false">IF(AJ223=1, W223-G223)</f>
        <v>0</v>
      </c>
      <c r="AL223" s="4" t="n">
        <f aca="false">IF(AND(AH223&lt;&gt;-1, G223&lt;&gt;"-", G223&lt;&gt;"."), ((G223-AH223)/G223)*100, -1)</f>
        <v>-1</v>
      </c>
      <c r="AN223" s="5" t="n">
        <f aca="false">IF(AND(AO223=C223, A223=AP223), 1, 0)</f>
        <v>1</v>
      </c>
      <c r="AO223" s="5" t="s">
        <v>70</v>
      </c>
      <c r="AP223" s="5" t="n">
        <v>15</v>
      </c>
      <c r="AQ223" s="5" t="n">
        <v>3600</v>
      </c>
      <c r="AR223" s="5" t="n">
        <v>104</v>
      </c>
      <c r="AS223" s="5" t="n">
        <v>331</v>
      </c>
      <c r="AT223" s="28" t="n">
        <v>3600</v>
      </c>
      <c r="AU223" s="28" t="s">
        <v>54</v>
      </c>
      <c r="AV223" s="28" t="n">
        <v>101.23</v>
      </c>
      <c r="AW223" s="28" t="n">
        <v>62</v>
      </c>
      <c r="AX223" s="28" t="n">
        <v>42</v>
      </c>
      <c r="AY223" s="28" t="n">
        <v>1455</v>
      </c>
      <c r="AZ223" s="28" t="n">
        <v>6896</v>
      </c>
      <c r="BA223" s="28" t="n">
        <v>1871</v>
      </c>
      <c r="BB223" s="6" t="n">
        <f aca="false">IF(AU223="Optimal", 1, 0)</f>
        <v>0</v>
      </c>
    </row>
    <row r="224" customFormat="false" ht="12.8" hidden="false" customHeight="false" outlineLevel="0" collapsed="false">
      <c r="A224" s="1" t="n">
        <v>15</v>
      </c>
      <c r="B224" s="23" t="s">
        <v>67</v>
      </c>
      <c r="C224" s="24" t="s">
        <v>73</v>
      </c>
      <c r="D224" s="32" t="n">
        <v>49</v>
      </c>
      <c r="E224" s="32" t="n">
        <v>177</v>
      </c>
      <c r="F224" s="32" t="n">
        <v>16</v>
      </c>
      <c r="G224" s="32" t="n">
        <v>24</v>
      </c>
      <c r="H224" s="3" t="n">
        <v>1</v>
      </c>
      <c r="I224" s="25" t="n">
        <v>0.58</v>
      </c>
      <c r="J224" s="26" t="n">
        <f aca="false">IF(I224="tl", 0, 1)</f>
        <v>1</v>
      </c>
      <c r="K224" s="25" t="n">
        <v>2.77</v>
      </c>
      <c r="L224" s="26" t="n">
        <f aca="false">IF(K224="tl", 0, 1)</f>
        <v>1</v>
      </c>
      <c r="M224" s="25" t="n">
        <v>0.11</v>
      </c>
      <c r="N224" s="26" t="n">
        <f aca="false">IF(M224="tl", 0, 1)</f>
        <v>1</v>
      </c>
      <c r="P224" s="23" t="n">
        <v>11</v>
      </c>
      <c r="Q224" s="23"/>
      <c r="R224" s="2" t="n">
        <f aca="false">IF(S224=C224, 1, 0)</f>
        <v>1</v>
      </c>
      <c r="S224" s="2" t="s">
        <v>73</v>
      </c>
      <c r="T224" s="2" t="n">
        <v>49</v>
      </c>
      <c r="U224" s="2" t="n">
        <v>177</v>
      </c>
      <c r="V224" s="2" t="s">
        <v>51</v>
      </c>
      <c r="W224" s="2" t="n">
        <v>24</v>
      </c>
      <c r="X224" s="2" t="n">
        <v>24</v>
      </c>
      <c r="Y224" s="2" t="n">
        <v>23.3447</v>
      </c>
      <c r="Z224" s="2" t="n">
        <v>18.1156</v>
      </c>
      <c r="AA224" s="2" t="n">
        <v>963</v>
      </c>
      <c r="AB224" s="2" t="n">
        <v>164</v>
      </c>
      <c r="AC224" s="2" t="n">
        <v>757</v>
      </c>
      <c r="AD224" s="2" t="n">
        <v>1289</v>
      </c>
      <c r="AE224" s="2" t="n">
        <v>27</v>
      </c>
      <c r="AF224" s="2" t="n">
        <v>1</v>
      </c>
      <c r="AG224" s="2" t="n">
        <v>13</v>
      </c>
      <c r="AH224" s="2" t="n">
        <v>14.5957</v>
      </c>
      <c r="AI224" s="2" t="n">
        <v>28</v>
      </c>
      <c r="AJ224" s="2" t="n">
        <f aca="false">IF(V224="Optimal", 1, 0)</f>
        <v>1</v>
      </c>
      <c r="AK224" s="3" t="n">
        <f aca="false">IF(AJ224=1, W224-G224)</f>
        <v>0</v>
      </c>
      <c r="AL224" s="4" t="n">
        <f aca="false">IF(AND(AH224&lt;&gt;-1, G224&lt;&gt;"-", G224&lt;&gt;"."), ((G224-AH224)/G224)*100, -1)</f>
        <v>39.1845833333333</v>
      </c>
      <c r="AN224" s="5" t="n">
        <f aca="false">IF(AND(AO224=C224, A224=AP224), 1, 0)</f>
        <v>1</v>
      </c>
      <c r="AO224" s="5" t="s">
        <v>73</v>
      </c>
      <c r="AP224" s="5" t="n">
        <v>15</v>
      </c>
      <c r="AQ224" s="5" t="n">
        <v>3600</v>
      </c>
      <c r="AR224" s="5" t="n">
        <v>49</v>
      </c>
      <c r="AS224" s="5" t="n">
        <v>177</v>
      </c>
      <c r="AT224" s="28" t="n">
        <v>507.594</v>
      </c>
      <c r="AU224" s="28" t="s">
        <v>51</v>
      </c>
      <c r="AV224" s="28" t="n">
        <v>25</v>
      </c>
      <c r="AW224" s="28" t="n">
        <v>25</v>
      </c>
      <c r="AX224" s="28" t="n">
        <v>24</v>
      </c>
      <c r="AY224" s="28" t="n">
        <v>455</v>
      </c>
      <c r="AZ224" s="28" t="n">
        <v>3657</v>
      </c>
      <c r="BA224" s="28" t="n">
        <v>2293</v>
      </c>
      <c r="BB224" s="6" t="n">
        <f aca="false">IF(AU224="Optimal", 1, 0)</f>
        <v>1</v>
      </c>
    </row>
    <row r="225" customFormat="false" ht="12.8" hidden="false" customHeight="false" outlineLevel="0" collapsed="false">
      <c r="A225" s="1" t="n">
        <v>15</v>
      </c>
      <c r="B225" s="23" t="s">
        <v>67</v>
      </c>
      <c r="C225" s="24" t="s">
        <v>74</v>
      </c>
      <c r="D225" s="32" t="n">
        <v>118</v>
      </c>
      <c r="E225" s="32" t="n">
        <v>576</v>
      </c>
      <c r="F225" s="32" t="n">
        <v>32</v>
      </c>
      <c r="G225" s="32" t="n">
        <v>35</v>
      </c>
      <c r="H225" s="3" t="n">
        <v>1</v>
      </c>
      <c r="I225" s="25" t="s">
        <v>53</v>
      </c>
      <c r="J225" s="26" t="n">
        <f aca="false">IF(I225="tl", 0, 1)</f>
        <v>0</v>
      </c>
      <c r="K225" s="25" t="n">
        <v>474.05</v>
      </c>
      <c r="L225" s="26" t="n">
        <f aca="false">IF(K225="tl", 0, 1)</f>
        <v>1</v>
      </c>
      <c r="M225" s="25" t="s">
        <v>53</v>
      </c>
      <c r="N225" s="26" t="n">
        <f aca="false">IF(M225="tl", 0, 1)</f>
        <v>0</v>
      </c>
      <c r="P225" s="23" t="n">
        <v>0</v>
      </c>
      <c r="Q225" s="23"/>
      <c r="R225" s="2" t="n">
        <f aca="false">IF(S225=C225, 1, 0)</f>
        <v>1</v>
      </c>
      <c r="S225" s="2" t="s">
        <v>74</v>
      </c>
      <c r="T225" s="2" t="n">
        <v>118</v>
      </c>
      <c r="U225" s="2" t="n">
        <v>576</v>
      </c>
      <c r="V225" s="2" t="s">
        <v>54</v>
      </c>
      <c r="W225" s="2" t="n">
        <v>86</v>
      </c>
      <c r="X225" s="2" t="n">
        <v>15.2435</v>
      </c>
      <c r="Y225" s="2" t="n">
        <v>1800</v>
      </c>
      <c r="Z225" s="2" t="n">
        <v>164.208</v>
      </c>
      <c r="AA225" s="2" t="n">
        <v>9752</v>
      </c>
      <c r="AB225" s="2" t="n">
        <v>7</v>
      </c>
      <c r="AC225" s="2" t="n">
        <v>2422</v>
      </c>
      <c r="AD225" s="2" t="n">
        <v>4151</v>
      </c>
      <c r="AE225" s="2" t="n">
        <v>40</v>
      </c>
      <c r="AF225" s="2" t="n">
        <v>0</v>
      </c>
      <c r="AG225" s="2" t="n">
        <v>4</v>
      </c>
      <c r="AH225" s="2" t="n">
        <v>14.2414</v>
      </c>
      <c r="AI225" s="2" t="n">
        <v>86</v>
      </c>
      <c r="AJ225" s="2" t="n">
        <f aca="false">IF(V225="Optimal", 1, 0)</f>
        <v>0</v>
      </c>
      <c r="AK225" s="29" t="b">
        <f aca="false">IF(AJ225=1, W225-G225)</f>
        <v>0</v>
      </c>
      <c r="AL225" s="4" t="n">
        <f aca="false">IF(AND(AH225&lt;&gt;-1, G225&lt;&gt;"-", G225&lt;&gt;"."), ((G225-AH225)/G225)*100, -1)</f>
        <v>59.3102857142857</v>
      </c>
      <c r="AN225" s="5" t="n">
        <f aca="false">IF(AND(AO225=C225, A225=AP225), 1, 0)</f>
        <v>1</v>
      </c>
      <c r="AO225" s="5" t="s">
        <v>74</v>
      </c>
      <c r="AP225" s="5" t="n">
        <v>15</v>
      </c>
      <c r="AQ225" s="5" t="n">
        <v>3600</v>
      </c>
      <c r="AR225" s="5" t="n">
        <v>118</v>
      </c>
      <c r="AS225" s="5" t="n">
        <v>576</v>
      </c>
      <c r="AT225" s="28" t="n">
        <v>3600</v>
      </c>
      <c r="AU225" s="28" t="s">
        <v>54</v>
      </c>
      <c r="AV225" s="28" t="n">
        <v>114.905</v>
      </c>
      <c r="AW225" s="28" t="n">
        <v>76</v>
      </c>
      <c r="AX225" s="28" t="n">
        <v>42</v>
      </c>
      <c r="AY225" s="28" t="n">
        <v>1665</v>
      </c>
      <c r="AZ225" s="28" t="n">
        <v>9651</v>
      </c>
      <c r="BA225" s="28" t="n">
        <v>941</v>
      </c>
      <c r="BB225" s="6" t="n">
        <f aca="false">IF(AU225="Optimal", 1, 0)</f>
        <v>0</v>
      </c>
    </row>
    <row r="226" customFormat="false" ht="12.8" hidden="false" customHeight="false" outlineLevel="0" collapsed="false">
      <c r="A226" s="1" t="n">
        <v>15</v>
      </c>
      <c r="B226" s="23" t="s">
        <v>67</v>
      </c>
      <c r="C226" s="24" t="s">
        <v>79</v>
      </c>
      <c r="D226" s="32" t="n">
        <v>62</v>
      </c>
      <c r="E226" s="32" t="n">
        <v>210</v>
      </c>
      <c r="F226" s="32" t="n">
        <v>18</v>
      </c>
      <c r="G226" s="32" t="n">
        <v>27</v>
      </c>
      <c r="H226" s="3" t="n">
        <v>1</v>
      </c>
      <c r="I226" s="25" t="s">
        <v>53</v>
      </c>
      <c r="J226" s="26" t="n">
        <f aca="false">IF(I226="tl", 0, 1)</f>
        <v>0</v>
      </c>
      <c r="K226" s="25" t="n">
        <v>24.89</v>
      </c>
      <c r="L226" s="26" t="n">
        <f aca="false">IF(K226="tl", 0, 1)</f>
        <v>1</v>
      </c>
      <c r="M226" s="25" t="n">
        <v>2179.2</v>
      </c>
      <c r="N226" s="26" t="n">
        <f aca="false">IF(M226="tl", 0, 1)</f>
        <v>1</v>
      </c>
      <c r="P226" s="23" t="n">
        <v>0</v>
      </c>
      <c r="Q226" s="23"/>
      <c r="R226" s="2" t="n">
        <f aca="false">IF(S226=C226, 1, 0)</f>
        <v>1</v>
      </c>
      <c r="S226" s="2" t="s">
        <v>79</v>
      </c>
      <c r="T226" s="2" t="n">
        <v>62</v>
      </c>
      <c r="U226" s="2" t="n">
        <v>210</v>
      </c>
      <c r="V226" s="2" t="s">
        <v>54</v>
      </c>
      <c r="W226" s="2" t="n">
        <v>27</v>
      </c>
      <c r="X226" s="2" t="n">
        <v>23.2619</v>
      </c>
      <c r="Y226" s="2" t="n">
        <v>1800.01</v>
      </c>
      <c r="Z226" s="2" t="n">
        <v>1517.41</v>
      </c>
      <c r="AA226" s="2" t="n">
        <v>14037</v>
      </c>
      <c r="AB226" s="2" t="n">
        <v>2999</v>
      </c>
      <c r="AC226" s="2" t="n">
        <v>902</v>
      </c>
      <c r="AD226" s="2" t="n">
        <v>1533</v>
      </c>
      <c r="AE226" s="2" t="n">
        <v>34</v>
      </c>
      <c r="AF226" s="2" t="n">
        <v>43</v>
      </c>
      <c r="AG226" s="2" t="n">
        <v>31</v>
      </c>
      <c r="AH226" s="2" t="n">
        <v>14.4667</v>
      </c>
      <c r="AI226" s="2" t="n">
        <v>43</v>
      </c>
      <c r="AJ226" s="2" t="n">
        <f aca="false">IF(V226="Optimal", 1, 0)</f>
        <v>0</v>
      </c>
      <c r="AK226" s="29" t="b">
        <f aca="false">IF(AJ226=1, W226-G226)</f>
        <v>0</v>
      </c>
      <c r="AL226" s="4" t="n">
        <f aca="false">IF(AND(AH226&lt;&gt;-1, G226&lt;&gt;"-", G226&lt;&gt;"."), ((G226-AH226)/G226)*100, -1)</f>
        <v>46.4196296296296</v>
      </c>
      <c r="AN226" s="5" t="n">
        <f aca="false">IF(AND(AO226=C226, A226=AP226), 1, 0)</f>
        <v>1</v>
      </c>
      <c r="AO226" s="5" t="s">
        <v>79</v>
      </c>
      <c r="AP226" s="5" t="n">
        <v>15</v>
      </c>
      <c r="AQ226" s="5" t="n">
        <v>3600</v>
      </c>
      <c r="AR226" s="5" t="n">
        <v>62</v>
      </c>
      <c r="AS226" s="5" t="n">
        <v>210</v>
      </c>
      <c r="AT226" s="28" t="n">
        <v>3600</v>
      </c>
      <c r="AU226" s="28" t="s">
        <v>54</v>
      </c>
      <c r="AV226" s="28" t="n">
        <v>52.1977</v>
      </c>
      <c r="AW226" s="28" t="n">
        <v>33</v>
      </c>
      <c r="AX226" s="28" t="n">
        <v>29</v>
      </c>
      <c r="AY226" s="28" t="n">
        <v>653</v>
      </c>
      <c r="AZ226" s="28" t="n">
        <v>5062</v>
      </c>
      <c r="BA226" s="28" t="n">
        <v>62014</v>
      </c>
      <c r="BB226" s="6" t="n">
        <f aca="false">IF(AU226="Optimal", 1, 0)</f>
        <v>0</v>
      </c>
    </row>
    <row r="227" customFormat="false" ht="12.8" hidden="false" customHeight="false" outlineLevel="0" collapsed="false">
      <c r="A227" s="1" t="n">
        <v>15</v>
      </c>
      <c r="B227" s="23" t="s">
        <v>64</v>
      </c>
      <c r="C227" s="24" t="s">
        <v>82</v>
      </c>
      <c r="D227" s="32" t="n">
        <v>297</v>
      </c>
      <c r="E227" s="32" t="n">
        <v>2148</v>
      </c>
      <c r="F227" s="32" t="n">
        <v>110</v>
      </c>
      <c r="G227" s="32" t="n">
        <v>2</v>
      </c>
      <c r="H227" s="3" t="n">
        <v>1</v>
      </c>
      <c r="I227" s="26" t="n">
        <v>88.06</v>
      </c>
      <c r="J227" s="26" t="n">
        <f aca="false">IF(I227="tl", 0, 1)</f>
        <v>1</v>
      </c>
      <c r="K227" s="26" t="s">
        <v>53</v>
      </c>
      <c r="L227" s="26" t="n">
        <f aca="false">IF(K227="tl", 0, 1)</f>
        <v>0</v>
      </c>
      <c r="M227" s="26" t="n">
        <v>0.05</v>
      </c>
      <c r="N227" s="26" t="n">
        <f aca="false">IF(M227="tl", 0, 1)</f>
        <v>1</v>
      </c>
      <c r="P227" s="23" t="n">
        <v>0</v>
      </c>
      <c r="Q227" s="23"/>
      <c r="R227" s="2" t="n">
        <f aca="false">IF(S227=C227, 1, 0)</f>
        <v>1</v>
      </c>
      <c r="S227" s="2" t="s">
        <v>82</v>
      </c>
      <c r="T227" s="2" t="n">
        <v>297</v>
      </c>
      <c r="U227" s="2" t="n">
        <v>2148</v>
      </c>
      <c r="V227" s="2" t="s">
        <v>51</v>
      </c>
      <c r="W227" s="2" t="n">
        <v>2</v>
      </c>
      <c r="X227" s="2" t="n">
        <v>2</v>
      </c>
      <c r="Y227" s="2" t="n">
        <v>120.167</v>
      </c>
      <c r="Z227" s="2" t="n">
        <v>92.9903</v>
      </c>
      <c r="AA227" s="2" t="n">
        <v>2621</v>
      </c>
      <c r="AB227" s="2" t="n">
        <v>1</v>
      </c>
      <c r="AC227" s="2" t="n">
        <v>8889</v>
      </c>
      <c r="AD227" s="2" t="n">
        <v>15334</v>
      </c>
      <c r="AE227" s="2" t="n">
        <v>176</v>
      </c>
      <c r="AF227" s="2" t="n">
        <v>0</v>
      </c>
      <c r="AG227" s="2" t="n">
        <v>0</v>
      </c>
      <c r="AH227" s="2" t="n">
        <v>-1</v>
      </c>
      <c r="AI227" s="2" t="n">
        <v>-1</v>
      </c>
      <c r="AJ227" s="2" t="n">
        <f aca="false">IF(V227="Optimal", 1, 0)</f>
        <v>1</v>
      </c>
      <c r="AK227" s="3" t="n">
        <f aca="false">IF(AJ227=1, W227-G227)</f>
        <v>0</v>
      </c>
      <c r="AL227" s="4" t="n">
        <f aca="false">IF(AND(AH227&lt;&gt;-1, G227&lt;&gt;"-", G227&lt;&gt;"."), ((G227-AH227)/G227)*100, -1)</f>
        <v>-1</v>
      </c>
      <c r="AN227" s="5" t="n">
        <f aca="false">IF(AND(AO227=C227, A227=AP227), 1, 0)</f>
        <v>1</v>
      </c>
      <c r="AO227" s="5" t="s">
        <v>82</v>
      </c>
      <c r="AP227" s="5" t="n">
        <v>15</v>
      </c>
      <c r="AQ227" s="5" t="n">
        <v>3600</v>
      </c>
      <c r="AR227" s="5" t="n">
        <v>297</v>
      </c>
      <c r="AS227" s="5" t="n">
        <v>2148</v>
      </c>
      <c r="AT227" s="28" t="n">
        <v>3600.01</v>
      </c>
      <c r="AU227" s="28" t="s">
        <v>54</v>
      </c>
      <c r="AV227" s="28" t="n">
        <v>296.501</v>
      </c>
      <c r="AW227" s="28" t="n">
        <v>294</v>
      </c>
      <c r="AX227" s="28" t="n">
        <v>3</v>
      </c>
      <c r="AY227" s="28" t="n">
        <v>4350</v>
      </c>
      <c r="AZ227" s="28" t="n">
        <v>29798</v>
      </c>
      <c r="BA227" s="28" t="n">
        <v>1</v>
      </c>
      <c r="BB227" s="6" t="n">
        <f aca="false">IF(AU227="Optimal", 1, 0)</f>
        <v>0</v>
      </c>
    </row>
    <row r="228" customFormat="false" ht="12.8" hidden="false" customHeight="false" outlineLevel="0" collapsed="false">
      <c r="A228" s="1" t="n">
        <v>15</v>
      </c>
      <c r="B228" s="23" t="s">
        <v>64</v>
      </c>
      <c r="C228" s="24" t="s">
        <v>83</v>
      </c>
      <c r="D228" s="32" t="n">
        <v>39</v>
      </c>
      <c r="E228" s="32" t="n">
        <v>170</v>
      </c>
      <c r="F228" s="32" t="n">
        <v>17</v>
      </c>
      <c r="G228" s="32" t="n">
        <v>17</v>
      </c>
      <c r="H228" s="3" t="n">
        <v>1</v>
      </c>
      <c r="I228" s="26" t="n">
        <v>6.59</v>
      </c>
      <c r="J228" s="26" t="n">
        <f aca="false">IF(I228="tl", 0, 1)</f>
        <v>1</v>
      </c>
      <c r="K228" s="26" t="n">
        <v>11.53</v>
      </c>
      <c r="L228" s="26" t="n">
        <f aca="false">IF(K228="tl", 0, 1)</f>
        <v>1</v>
      </c>
      <c r="M228" s="26" t="n">
        <v>0.1</v>
      </c>
      <c r="N228" s="26" t="n">
        <f aca="false">IF(M228="tl", 0, 1)</f>
        <v>1</v>
      </c>
      <c r="P228" s="23" t="n">
        <v>5</v>
      </c>
      <c r="Q228" s="23"/>
      <c r="R228" s="2" t="n">
        <f aca="false">IF(S228=C228, 1, 0)</f>
        <v>1</v>
      </c>
      <c r="S228" s="2" t="s">
        <v>83</v>
      </c>
      <c r="T228" s="2" t="n">
        <v>39</v>
      </c>
      <c r="U228" s="2" t="n">
        <v>170</v>
      </c>
      <c r="V228" s="2" t="s">
        <v>51</v>
      </c>
      <c r="W228" s="2" t="n">
        <v>17</v>
      </c>
      <c r="X228" s="2" t="n">
        <v>17</v>
      </c>
      <c r="Y228" s="2" t="n">
        <v>1.22958</v>
      </c>
      <c r="Z228" s="2" t="n">
        <v>0.663638</v>
      </c>
      <c r="AA228" s="2" t="n">
        <v>266</v>
      </c>
      <c r="AB228" s="2" t="n">
        <v>5</v>
      </c>
      <c r="AC228" s="2" t="n">
        <v>719</v>
      </c>
      <c r="AD228" s="2" t="n">
        <v>1230</v>
      </c>
      <c r="AE228" s="2" t="n">
        <v>2</v>
      </c>
      <c r="AF228" s="2" t="n">
        <v>0</v>
      </c>
      <c r="AG228" s="2" t="n">
        <v>2</v>
      </c>
      <c r="AH228" s="2" t="n">
        <v>14.7568</v>
      </c>
      <c r="AI228" s="2" t="n">
        <v>19</v>
      </c>
      <c r="AJ228" s="2" t="n">
        <f aca="false">IF(V228="Optimal", 1, 0)</f>
        <v>1</v>
      </c>
      <c r="AK228" s="3" t="n">
        <f aca="false">IF(AJ228=1, W228-G228)</f>
        <v>0</v>
      </c>
      <c r="AL228" s="4" t="n">
        <f aca="false">IF(AND(AH228&lt;&gt;-1, G228&lt;&gt;"-", G228&lt;&gt;"."), ((G228-AH228)/G228)*100, -1)</f>
        <v>13.1952941176471</v>
      </c>
      <c r="AN228" s="5" t="n">
        <f aca="false">IF(AND(AO228=C228, A228=AP228), 1, 0)</f>
        <v>1</v>
      </c>
      <c r="AO228" s="5" t="s">
        <v>83</v>
      </c>
      <c r="AP228" s="5" t="n">
        <v>15</v>
      </c>
      <c r="AQ228" s="5" t="n">
        <v>3600</v>
      </c>
      <c r="AR228" s="5" t="n">
        <v>39</v>
      </c>
      <c r="AS228" s="5" t="n">
        <v>170</v>
      </c>
      <c r="AT228" s="28" t="n">
        <v>175.11</v>
      </c>
      <c r="AU228" s="28" t="s">
        <v>51</v>
      </c>
      <c r="AV228" s="28" t="n">
        <v>22</v>
      </c>
      <c r="AW228" s="28" t="n">
        <v>22</v>
      </c>
      <c r="AX228" s="28" t="n">
        <v>17</v>
      </c>
      <c r="AY228" s="28" t="n">
        <v>372</v>
      </c>
      <c r="AZ228" s="28" t="n">
        <v>1783</v>
      </c>
      <c r="BA228" s="28" t="n">
        <v>3261</v>
      </c>
      <c r="BB228" s="6" t="n">
        <f aca="false">IF(AU228="Optimal", 1, 0)</f>
        <v>1</v>
      </c>
    </row>
    <row r="229" customFormat="false" ht="12.8" hidden="false" customHeight="false" outlineLevel="0" collapsed="false">
      <c r="A229" s="1" t="n">
        <v>15</v>
      </c>
      <c r="B229" s="23" t="s">
        <v>49</v>
      </c>
      <c r="C229" s="24" t="s">
        <v>85</v>
      </c>
      <c r="D229" s="32" t="n">
        <v>87</v>
      </c>
      <c r="E229" s="32" t="n">
        <v>406</v>
      </c>
      <c r="F229" s="32" t="n">
        <v>36</v>
      </c>
      <c r="G229" s="32" t="n">
        <v>4</v>
      </c>
      <c r="H229" s="3" t="n">
        <v>1</v>
      </c>
      <c r="I229" s="26" t="n">
        <v>12.28</v>
      </c>
      <c r="J229" s="26" t="n">
        <f aca="false">IF(I229="tl", 0, 1)</f>
        <v>1</v>
      </c>
      <c r="K229" s="26" t="n">
        <v>78.22</v>
      </c>
      <c r="L229" s="26" t="n">
        <f aca="false">IF(K229="tl", 0, 1)</f>
        <v>1</v>
      </c>
      <c r="M229" s="26" t="n">
        <v>0.89</v>
      </c>
      <c r="N229" s="26" t="n">
        <f aca="false">IF(M229="tl", 0, 1)</f>
        <v>1</v>
      </c>
      <c r="P229" s="23" t="n">
        <v>1</v>
      </c>
      <c r="Q229" s="23"/>
      <c r="R229" s="2" t="n">
        <f aca="false">IF(S229=C229, 1, 0)</f>
        <v>1</v>
      </c>
      <c r="S229" s="2" t="s">
        <v>85</v>
      </c>
      <c r="T229" s="2" t="n">
        <v>87</v>
      </c>
      <c r="U229" s="2" t="n">
        <v>406</v>
      </c>
      <c r="V229" s="2" t="s">
        <v>51</v>
      </c>
      <c r="W229" s="2" t="n">
        <v>4</v>
      </c>
      <c r="X229" s="2" t="n">
        <v>4</v>
      </c>
      <c r="Y229" s="2" t="n">
        <v>12.5526</v>
      </c>
      <c r="Z229" s="2" t="n">
        <v>2.14436</v>
      </c>
      <c r="AA229" s="2" t="n">
        <v>727</v>
      </c>
      <c r="AB229" s="2" t="n">
        <v>2</v>
      </c>
      <c r="AC229" s="2" t="n">
        <v>1711</v>
      </c>
      <c r="AD229" s="2" t="n">
        <v>2930</v>
      </c>
      <c r="AE229" s="2" t="n">
        <v>85</v>
      </c>
      <c r="AF229" s="2" t="n">
        <v>0</v>
      </c>
      <c r="AG229" s="2" t="n">
        <v>1</v>
      </c>
      <c r="AH229" s="2" t="n">
        <v>3.78571</v>
      </c>
      <c r="AI229" s="2" t="n">
        <v>7</v>
      </c>
      <c r="AJ229" s="2" t="n">
        <f aca="false">IF(V229="Optimal", 1, 0)</f>
        <v>1</v>
      </c>
      <c r="AK229" s="3" t="n">
        <f aca="false">IF(AJ229=1, W229-G229)</f>
        <v>0</v>
      </c>
      <c r="AL229" s="4" t="n">
        <f aca="false">IF(AND(AH229&lt;&gt;-1, G229&lt;&gt;"-", G229&lt;&gt;"."), ((G229-AH229)/G229)*100, -1)</f>
        <v>5.35725</v>
      </c>
      <c r="AN229" s="5" t="n">
        <f aca="false">IF(AND(AO229=C229, A229=AP229), 1, 0)</f>
        <v>1</v>
      </c>
      <c r="AO229" s="5" t="s">
        <v>85</v>
      </c>
      <c r="AP229" s="5" t="n">
        <v>15</v>
      </c>
      <c r="AQ229" s="5" t="n">
        <v>3600</v>
      </c>
      <c r="AR229" s="5" t="n">
        <v>87</v>
      </c>
      <c r="AS229" s="5" t="n">
        <v>406</v>
      </c>
      <c r="AT229" s="28" t="n">
        <v>279.267</v>
      </c>
      <c r="AU229" s="28" t="s">
        <v>51</v>
      </c>
      <c r="AV229" s="28" t="n">
        <v>83</v>
      </c>
      <c r="AW229" s="28" t="n">
        <v>83</v>
      </c>
      <c r="AX229" s="28" t="n">
        <v>4</v>
      </c>
      <c r="AY229" s="28" t="n">
        <v>1200</v>
      </c>
      <c r="AZ229" s="28" t="n">
        <v>5403</v>
      </c>
      <c r="BA229" s="28" t="n">
        <v>261</v>
      </c>
      <c r="BB229" s="6" t="n">
        <f aca="false">IF(AU229="Optimal", 1, 0)</f>
        <v>1</v>
      </c>
    </row>
    <row r="230" customFormat="false" ht="12.8" hidden="false" customHeight="false" outlineLevel="0" collapsed="false">
      <c r="A230" s="1" t="n">
        <v>15</v>
      </c>
      <c r="B230" s="23" t="s">
        <v>64</v>
      </c>
      <c r="C230" s="24" t="s">
        <v>87</v>
      </c>
      <c r="D230" s="32" t="n">
        <v>62</v>
      </c>
      <c r="E230" s="32" t="n">
        <v>159</v>
      </c>
      <c r="F230" s="32" t="n">
        <v>28</v>
      </c>
      <c r="G230" s="32" t="n">
        <v>13</v>
      </c>
      <c r="H230" s="3" t="n">
        <v>1</v>
      </c>
      <c r="I230" s="26" t="n">
        <v>165.39</v>
      </c>
      <c r="J230" s="26" t="n">
        <f aca="false">IF(I230="tl", 0, 1)</f>
        <v>1</v>
      </c>
      <c r="K230" s="26" t="n">
        <v>26.81</v>
      </c>
      <c r="L230" s="26" t="n">
        <f aca="false">IF(K230="tl", 0, 1)</f>
        <v>1</v>
      </c>
      <c r="M230" s="26" t="n">
        <v>0.79</v>
      </c>
      <c r="N230" s="26" t="n">
        <f aca="false">IF(M230="tl", 0, 1)</f>
        <v>1</v>
      </c>
      <c r="P230" s="23" t="n">
        <v>0</v>
      </c>
      <c r="Q230" s="23"/>
      <c r="R230" s="2" t="n">
        <f aca="false">IF(S230=C230, 1, 0)</f>
        <v>1</v>
      </c>
      <c r="S230" s="2" t="s">
        <v>87</v>
      </c>
      <c r="T230" s="2" t="n">
        <v>62</v>
      </c>
      <c r="U230" s="2" t="n">
        <v>159</v>
      </c>
      <c r="V230" s="2" t="s">
        <v>51</v>
      </c>
      <c r="W230" s="2" t="n">
        <v>13</v>
      </c>
      <c r="X230" s="2" t="n">
        <v>13</v>
      </c>
      <c r="Y230" s="2" t="n">
        <v>2.36982</v>
      </c>
      <c r="Z230" s="2" t="n">
        <v>1.12011</v>
      </c>
      <c r="AA230" s="2" t="n">
        <v>330</v>
      </c>
      <c r="AB230" s="2" t="n">
        <v>8</v>
      </c>
      <c r="AC230" s="2" t="n">
        <v>698</v>
      </c>
      <c r="AD230" s="2" t="n">
        <v>1176</v>
      </c>
      <c r="AE230" s="2" t="n">
        <v>34</v>
      </c>
      <c r="AF230" s="2" t="n">
        <v>0</v>
      </c>
      <c r="AG230" s="2" t="n">
        <v>5</v>
      </c>
      <c r="AH230" s="2" t="n">
        <v>11.1111</v>
      </c>
      <c r="AI230" s="2" t="n">
        <v>23</v>
      </c>
      <c r="AJ230" s="2" t="n">
        <f aca="false">IF(V230="Optimal", 1, 0)</f>
        <v>1</v>
      </c>
      <c r="AK230" s="3" t="n">
        <f aca="false">IF(AJ230=1, W230-G230)</f>
        <v>0</v>
      </c>
      <c r="AL230" s="4" t="n">
        <f aca="false">IF(AND(AH230&lt;&gt;-1, G230&lt;&gt;"-", G230&lt;&gt;"."), ((G230-AH230)/G230)*100, -1)</f>
        <v>14.53</v>
      </c>
      <c r="AN230" s="5" t="n">
        <f aca="false">IF(AND(AO230=C230, A230=AP230), 1, 0)</f>
        <v>1</v>
      </c>
      <c r="AO230" s="5" t="s">
        <v>87</v>
      </c>
      <c r="AP230" s="5" t="n">
        <v>15</v>
      </c>
      <c r="AQ230" s="5" t="n">
        <v>3600</v>
      </c>
      <c r="AR230" s="5" t="n">
        <v>62</v>
      </c>
      <c r="AS230" s="5" t="n">
        <v>159</v>
      </c>
      <c r="AT230" s="28" t="n">
        <v>3600</v>
      </c>
      <c r="AU230" s="28" t="s">
        <v>54</v>
      </c>
      <c r="AV230" s="28" t="n">
        <v>53.9397</v>
      </c>
      <c r="AW230" s="28" t="n">
        <v>49</v>
      </c>
      <c r="AX230" s="28" t="n">
        <v>13</v>
      </c>
      <c r="AY230" s="28" t="n">
        <v>793</v>
      </c>
      <c r="AZ230" s="28" t="n">
        <v>2926</v>
      </c>
      <c r="BA230" s="28" t="n">
        <v>39832</v>
      </c>
      <c r="BB230" s="6" t="n">
        <f aca="false">IF(AU230="Optimal", 1, 0)</f>
        <v>0</v>
      </c>
    </row>
    <row r="231" customFormat="false" ht="12.8" hidden="false" customHeight="false" outlineLevel="0" collapsed="false">
      <c r="A231" s="1" t="n">
        <v>15</v>
      </c>
      <c r="B231" s="23" t="s">
        <v>49</v>
      </c>
      <c r="C231" s="24" t="s">
        <v>88</v>
      </c>
      <c r="D231" s="32" t="n">
        <v>125</v>
      </c>
      <c r="E231" s="32" t="n">
        <v>736</v>
      </c>
      <c r="F231" s="32" t="n">
        <v>34</v>
      </c>
      <c r="G231" s="32" t="s">
        <v>77</v>
      </c>
      <c r="H231" s="3" t="n">
        <v>0</v>
      </c>
      <c r="I231" s="26" t="s">
        <v>53</v>
      </c>
      <c r="J231" s="26" t="n">
        <f aca="false">IF(I231="tl", 0, 1)</f>
        <v>0</v>
      </c>
      <c r="K231" s="26" t="s">
        <v>53</v>
      </c>
      <c r="L231" s="26" t="n">
        <f aca="false">IF(K231="tl", 0, 1)</f>
        <v>0</v>
      </c>
      <c r="M231" s="26" t="s">
        <v>53</v>
      </c>
      <c r="N231" s="26" t="n">
        <f aca="false">IF(M231="tl", 0, 1)</f>
        <v>0</v>
      </c>
      <c r="P231" s="23" t="n">
        <v>0</v>
      </c>
      <c r="Q231" s="23"/>
      <c r="R231" s="2" t="n">
        <f aca="false">IF(S231=C231, 1, 0)</f>
        <v>1</v>
      </c>
      <c r="S231" s="2" t="s">
        <v>88</v>
      </c>
      <c r="T231" s="2" t="n">
        <v>125</v>
      </c>
      <c r="U231" s="2" t="n">
        <v>736</v>
      </c>
      <c r="V231" s="2" t="s">
        <v>54</v>
      </c>
      <c r="W231" s="2" t="n">
        <v>68</v>
      </c>
      <c r="X231" s="2" t="n">
        <v>19.2889</v>
      </c>
      <c r="Y231" s="2" t="n">
        <v>1800.2</v>
      </c>
      <c r="Z231" s="2" t="n">
        <v>1173.76</v>
      </c>
      <c r="AA231" s="2" t="n">
        <v>12611</v>
      </c>
      <c r="AB231" s="2" t="n">
        <v>416</v>
      </c>
      <c r="AC231" s="2" t="n">
        <v>3069</v>
      </c>
      <c r="AD231" s="2" t="n">
        <v>5278</v>
      </c>
      <c r="AE231" s="2" t="n">
        <v>5</v>
      </c>
      <c r="AF231" s="2" t="n">
        <v>0</v>
      </c>
      <c r="AG231" s="2" t="n">
        <v>68</v>
      </c>
      <c r="AH231" s="2" t="n">
        <v>14.2276</v>
      </c>
      <c r="AI231" s="2" t="n">
        <v>93</v>
      </c>
      <c r="AJ231" s="2" t="n">
        <f aca="false">IF(V231="Optimal", 1, 0)</f>
        <v>0</v>
      </c>
      <c r="AK231" s="29" t="b">
        <f aca="false">IF(AJ231=1, W231-G231)</f>
        <v>0</v>
      </c>
      <c r="AL231" s="4" t="n">
        <f aca="false">IF(AND(AH231&lt;&gt;-1, G231&lt;&gt;"-", G231&lt;&gt;"."), ((G231-AH231)/G231)*100, -1)</f>
        <v>-1</v>
      </c>
      <c r="AN231" s="5" t="n">
        <f aca="false">IF(AND(AO231=C231, A231=AP231), 1, 0)</f>
        <v>1</v>
      </c>
      <c r="AO231" s="5" t="s">
        <v>88</v>
      </c>
      <c r="AP231" s="5" t="n">
        <v>15</v>
      </c>
      <c r="AQ231" s="5" t="n">
        <v>3600</v>
      </c>
      <c r="AR231" s="5" t="n">
        <v>125</v>
      </c>
      <c r="AS231" s="5" t="n">
        <v>736</v>
      </c>
      <c r="AT231" s="28" t="n">
        <v>3600.03</v>
      </c>
      <c r="AU231" s="28" t="s">
        <v>54</v>
      </c>
      <c r="AV231" s="28" t="n">
        <v>121.514</v>
      </c>
      <c r="AW231" s="28" t="n">
        <v>52</v>
      </c>
      <c r="AX231" s="28" t="n">
        <v>73</v>
      </c>
      <c r="AY231" s="28" t="n">
        <v>1720</v>
      </c>
      <c r="AZ231" s="28" t="n">
        <v>10523</v>
      </c>
      <c r="BA231" s="28" t="n">
        <v>86</v>
      </c>
      <c r="BB231" s="6" t="n">
        <f aca="false">IF(AU231="Optimal", 1, 0)</f>
        <v>0</v>
      </c>
    </row>
    <row r="232" customFormat="false" ht="12.8" hidden="false" customHeight="false" outlineLevel="0" collapsed="false">
      <c r="A232" s="1" t="n">
        <v>15</v>
      </c>
      <c r="B232" s="23" t="s">
        <v>67</v>
      </c>
      <c r="C232" s="24" t="s">
        <v>90</v>
      </c>
      <c r="D232" s="32" t="n">
        <v>59</v>
      </c>
      <c r="E232" s="32" t="n">
        <v>256</v>
      </c>
      <c r="F232" s="32" t="n">
        <v>15</v>
      </c>
      <c r="G232" s="32" t="n">
        <v>41</v>
      </c>
      <c r="H232" s="3" t="n">
        <v>1</v>
      </c>
      <c r="I232" s="25" t="n">
        <v>0.54</v>
      </c>
      <c r="J232" s="26" t="n">
        <f aca="false">IF(I232="tl", 0, 1)</f>
        <v>1</v>
      </c>
      <c r="K232" s="25" t="n">
        <v>0.67</v>
      </c>
      <c r="L232" s="26" t="n">
        <f aca="false">IF(K232="tl", 0, 1)</f>
        <v>1</v>
      </c>
      <c r="M232" s="25" t="n">
        <v>0.02</v>
      </c>
      <c r="N232" s="26" t="n">
        <f aca="false">IF(M232="tl", 0, 1)</f>
        <v>1</v>
      </c>
      <c r="P232" s="23" t="n">
        <v>31</v>
      </c>
      <c r="Q232" s="23"/>
      <c r="R232" s="2" t="n">
        <f aca="false">IF(S232=C232, 1, 0)</f>
        <v>1</v>
      </c>
      <c r="S232" s="2" t="s">
        <v>90</v>
      </c>
      <c r="T232" s="2" t="n">
        <v>59</v>
      </c>
      <c r="U232" s="2" t="n">
        <v>256</v>
      </c>
      <c r="V232" s="2" t="s">
        <v>54</v>
      </c>
      <c r="W232" s="42" t="n">
        <v>1E+020</v>
      </c>
      <c r="X232" s="2" t="n">
        <v>20.7931</v>
      </c>
      <c r="Y232" s="2" t="n">
        <v>1800.03</v>
      </c>
      <c r="Z232" s="2" t="n">
        <v>1535.61</v>
      </c>
      <c r="AA232" s="2" t="n">
        <v>9731</v>
      </c>
      <c r="AB232" s="2" t="n">
        <v>1530</v>
      </c>
      <c r="AC232" s="2" t="n">
        <v>1083</v>
      </c>
      <c r="AD232" s="2" t="n">
        <v>1852</v>
      </c>
      <c r="AE232" s="2" t="n">
        <v>5</v>
      </c>
      <c r="AF232" s="2" t="n">
        <v>17</v>
      </c>
      <c r="AG232" s="2" t="n">
        <v>30</v>
      </c>
      <c r="AH232" s="2" t="n">
        <v>14.4912</v>
      </c>
      <c r="AI232" s="42" t="n">
        <v>1E+020</v>
      </c>
      <c r="AJ232" s="2" t="n">
        <f aca="false">IF(V232="Optimal", 1, 0)</f>
        <v>0</v>
      </c>
      <c r="AK232" s="29" t="b">
        <f aca="false">IF(AJ232=1, W232-G232)</f>
        <v>0</v>
      </c>
      <c r="AL232" s="4" t="n">
        <f aca="false">IF(AND(AH232&lt;&gt;-1, G232&lt;&gt;"-", G232&lt;&gt;"."), ((G232-AH232)/G232)*100, -1)</f>
        <v>64.6556097560976</v>
      </c>
      <c r="AN232" s="5" t="n">
        <f aca="false">IF(AND(AO232=C232, A232=AP232), 1, 0)</f>
        <v>1</v>
      </c>
      <c r="AO232" s="5" t="s">
        <v>90</v>
      </c>
      <c r="AP232" s="5" t="n">
        <v>15</v>
      </c>
      <c r="AQ232" s="5" t="n">
        <v>3600</v>
      </c>
      <c r="AR232" s="5" t="n">
        <v>59</v>
      </c>
      <c r="AS232" s="5" t="n">
        <v>256</v>
      </c>
      <c r="AT232" s="28" t="n">
        <v>786.914</v>
      </c>
      <c r="AU232" s="28" t="s">
        <v>51</v>
      </c>
      <c r="AV232" s="28" t="n">
        <v>18</v>
      </c>
      <c r="AW232" s="28" t="n">
        <v>18</v>
      </c>
      <c r="AX232" s="28" t="n">
        <v>41</v>
      </c>
      <c r="AY232" s="28" t="n">
        <v>513</v>
      </c>
      <c r="AZ232" s="28" t="n">
        <v>8909</v>
      </c>
      <c r="BA232" s="28" t="n">
        <v>9013</v>
      </c>
      <c r="BB232" s="6" t="n">
        <f aca="false">IF(AU232="Optimal", 1, 0)</f>
        <v>1</v>
      </c>
    </row>
    <row r="233" customFormat="false" ht="12.8" hidden="false" customHeight="false" outlineLevel="0" collapsed="false">
      <c r="A233" s="1" t="n">
        <v>15</v>
      </c>
      <c r="B233" s="23" t="s">
        <v>67</v>
      </c>
      <c r="C233" s="24" t="s">
        <v>92</v>
      </c>
      <c r="D233" s="32" t="n">
        <v>72</v>
      </c>
      <c r="E233" s="32" t="n">
        <v>170</v>
      </c>
      <c r="F233" s="32" t="n">
        <v>24</v>
      </c>
      <c r="G233" s="32" t="n">
        <v>26</v>
      </c>
      <c r="H233" s="3" t="n">
        <v>1</v>
      </c>
      <c r="I233" s="25" t="s">
        <v>53</v>
      </c>
      <c r="J233" s="26" t="n">
        <f aca="false">IF(I233="tl", 0, 1)</f>
        <v>0</v>
      </c>
      <c r="K233" s="25" t="n">
        <v>163.4</v>
      </c>
      <c r="L233" s="26" t="n">
        <f aca="false">IF(K233="tl", 0, 1)</f>
        <v>1</v>
      </c>
      <c r="M233" s="25" t="s">
        <v>53</v>
      </c>
      <c r="N233" s="26" t="n">
        <f aca="false">IF(M233="tl", 0, 1)</f>
        <v>0</v>
      </c>
      <c r="P233" s="23" t="n">
        <v>0</v>
      </c>
      <c r="Q233" s="23"/>
      <c r="R233" s="2" t="n">
        <f aca="false">IF(S233=C233, 1, 0)</f>
        <v>1</v>
      </c>
      <c r="S233" s="2" t="s">
        <v>92</v>
      </c>
      <c r="T233" s="2" t="n">
        <v>72</v>
      </c>
      <c r="U233" s="2" t="n">
        <v>170</v>
      </c>
      <c r="V233" s="2" t="s">
        <v>54</v>
      </c>
      <c r="W233" s="2" t="n">
        <v>26</v>
      </c>
      <c r="X233" s="2" t="n">
        <v>19.75</v>
      </c>
      <c r="Y233" s="2" t="n">
        <v>1800.02</v>
      </c>
      <c r="Z233" s="2" t="n">
        <v>1529.07</v>
      </c>
      <c r="AA233" s="2" t="n">
        <v>13626</v>
      </c>
      <c r="AB233" s="2" t="n">
        <v>8040</v>
      </c>
      <c r="AC233" s="2" t="n">
        <v>752</v>
      </c>
      <c r="AD233" s="2" t="n">
        <v>1263</v>
      </c>
      <c r="AE233" s="2" t="n">
        <v>47</v>
      </c>
      <c r="AF233" s="2" t="n">
        <v>0</v>
      </c>
      <c r="AG233" s="2" t="n">
        <v>29</v>
      </c>
      <c r="AH233" s="2" t="n">
        <v>14.4</v>
      </c>
      <c r="AI233" s="2" t="n">
        <v>35</v>
      </c>
      <c r="AJ233" s="2" t="n">
        <f aca="false">IF(V233="Optimal", 1, 0)</f>
        <v>0</v>
      </c>
      <c r="AK233" s="29" t="b">
        <f aca="false">IF(AJ233=1, W233-G233)</f>
        <v>0</v>
      </c>
      <c r="AL233" s="4" t="n">
        <f aca="false">IF(AND(AH233&lt;&gt;-1, G233&lt;&gt;"-", G233&lt;&gt;"."), ((G233-AH233)/G233)*100, -1)</f>
        <v>44.6153846153846</v>
      </c>
      <c r="AN233" s="5" t="n">
        <f aca="false">IF(AND(AO233=C233, A233=AP233), 1, 0)</f>
        <v>1</v>
      </c>
      <c r="AO233" s="5" t="s">
        <v>92</v>
      </c>
      <c r="AP233" s="5" t="n">
        <v>15</v>
      </c>
      <c r="AQ233" s="5" t="n">
        <v>3600</v>
      </c>
      <c r="AR233" s="5" t="n">
        <v>72</v>
      </c>
      <c r="AS233" s="5" t="n">
        <v>170</v>
      </c>
      <c r="AT233" s="28" t="n">
        <v>3600</v>
      </c>
      <c r="AU233" s="28" t="s">
        <v>54</v>
      </c>
      <c r="AV233" s="28" t="n">
        <v>67.808</v>
      </c>
      <c r="AW233" s="28" t="n">
        <v>45</v>
      </c>
      <c r="AX233" s="28" t="n">
        <v>27</v>
      </c>
      <c r="AY233" s="28" t="n">
        <v>797</v>
      </c>
      <c r="AZ233" s="28" t="n">
        <v>3667</v>
      </c>
      <c r="BA233" s="28" t="n">
        <v>34508</v>
      </c>
      <c r="BB233" s="6" t="n">
        <f aca="false">IF(AU233="Optimal", 1, 0)</f>
        <v>0</v>
      </c>
    </row>
    <row r="234" customFormat="false" ht="12.8" hidden="false" customHeight="false" outlineLevel="0" collapsed="false">
      <c r="A234" s="1" t="n">
        <v>15</v>
      </c>
      <c r="B234" s="23" t="s">
        <v>67</v>
      </c>
      <c r="C234" s="24" t="s">
        <v>93</v>
      </c>
      <c r="D234" s="32" t="n">
        <v>87</v>
      </c>
      <c r="E234" s="32" t="n">
        <v>726</v>
      </c>
      <c r="F234" s="32" t="n">
        <v>16</v>
      </c>
      <c r="G234" s="32" t="n">
        <v>54</v>
      </c>
      <c r="H234" s="3" t="n">
        <v>1</v>
      </c>
      <c r="I234" s="25" t="n">
        <v>485.65</v>
      </c>
      <c r="J234" s="26" t="n">
        <f aca="false">IF(I234="tl", 0, 1)</f>
        <v>1</v>
      </c>
      <c r="K234" s="25" t="n">
        <v>28.33</v>
      </c>
      <c r="L234" s="26" t="n">
        <f aca="false">IF(K234="tl", 0, 1)</f>
        <v>1</v>
      </c>
      <c r="M234" s="25" t="n">
        <v>16.66</v>
      </c>
      <c r="N234" s="26" t="n">
        <f aca="false">IF(M234="tl", 0, 1)</f>
        <v>1</v>
      </c>
      <c r="P234" s="23" t="n">
        <v>13</v>
      </c>
      <c r="Q234" s="23"/>
      <c r="R234" s="2" t="n">
        <f aca="false">IF(S234=C234, 1, 0)</f>
        <v>1</v>
      </c>
      <c r="S234" s="2" t="s">
        <v>93</v>
      </c>
      <c r="T234" s="2" t="n">
        <v>87</v>
      </c>
      <c r="U234" s="2" t="n">
        <v>726</v>
      </c>
      <c r="V234" s="2" t="s">
        <v>54</v>
      </c>
      <c r="W234" s="2" t="n">
        <v>70</v>
      </c>
      <c r="X234" s="2" t="n">
        <v>17.3415</v>
      </c>
      <c r="Y234" s="2" t="n">
        <v>1800.2</v>
      </c>
      <c r="Z234" s="2" t="n">
        <v>1038.58</v>
      </c>
      <c r="AA234" s="2" t="n">
        <v>12351</v>
      </c>
      <c r="AB234" s="2" t="n">
        <v>101</v>
      </c>
      <c r="AC234" s="2" t="n">
        <v>2991</v>
      </c>
      <c r="AD234" s="2" t="n">
        <v>5170</v>
      </c>
      <c r="AE234" s="2" t="n">
        <v>12</v>
      </c>
      <c r="AF234" s="2" t="n">
        <v>0</v>
      </c>
      <c r="AG234" s="2" t="n">
        <v>25</v>
      </c>
      <c r="AH234" s="2" t="n">
        <v>14.3294</v>
      </c>
      <c r="AI234" s="2" t="n">
        <v>70</v>
      </c>
      <c r="AJ234" s="2" t="n">
        <f aca="false">IF(V234="Optimal", 1, 0)</f>
        <v>0</v>
      </c>
      <c r="AK234" s="29" t="b">
        <f aca="false">IF(AJ234=1, W234-G234)</f>
        <v>0</v>
      </c>
      <c r="AL234" s="4" t="n">
        <f aca="false">IF(AND(AH234&lt;&gt;-1, G234&lt;&gt;"-", G234&lt;&gt;"."), ((G234-AH234)/G234)*100, -1)</f>
        <v>73.4640740740741</v>
      </c>
      <c r="AN234" s="5" t="n">
        <f aca="false">IF(AND(AO234=C234, A234=AP234), 1, 0)</f>
        <v>1</v>
      </c>
      <c r="AO234" s="5" t="s">
        <v>93</v>
      </c>
      <c r="AP234" s="5" t="n">
        <v>15</v>
      </c>
      <c r="AQ234" s="5" t="n">
        <v>3600</v>
      </c>
      <c r="AR234" s="5" t="n">
        <v>87</v>
      </c>
      <c r="AS234" s="5" t="n">
        <v>726</v>
      </c>
      <c r="AT234" s="28" t="n">
        <v>3600</v>
      </c>
      <c r="AU234" s="28" t="s">
        <v>54</v>
      </c>
      <c r="AV234" s="28" t="n">
        <v>76.3076</v>
      </c>
      <c r="AW234" s="28" t="s">
        <v>175</v>
      </c>
      <c r="AX234" s="28" t="s">
        <v>175</v>
      </c>
      <c r="AY234" s="28" t="n">
        <v>985</v>
      </c>
      <c r="AZ234" s="28" t="n">
        <v>8995</v>
      </c>
      <c r="BA234" s="28" t="n">
        <v>385</v>
      </c>
      <c r="BB234" s="6" t="n">
        <f aca="false">IF(AU234="Optimal", 1, 0)</f>
        <v>0</v>
      </c>
    </row>
    <row r="235" customFormat="false" ht="12.8" hidden="false" customHeight="false" outlineLevel="0" collapsed="false">
      <c r="A235" s="1" t="n">
        <v>15</v>
      </c>
      <c r="B235" s="23" t="s">
        <v>64</v>
      </c>
      <c r="C235" s="24" t="s">
        <v>94</v>
      </c>
      <c r="D235" s="32" t="n">
        <v>115</v>
      </c>
      <c r="E235" s="32" t="n">
        <v>613</v>
      </c>
      <c r="F235" s="32" t="n">
        <v>21</v>
      </c>
      <c r="G235" s="32" t="s">
        <v>77</v>
      </c>
      <c r="H235" s="3" t="n">
        <v>0</v>
      </c>
      <c r="I235" s="26" t="s">
        <v>53</v>
      </c>
      <c r="J235" s="26" t="n">
        <f aca="false">IF(I235="tl", 0, 1)</f>
        <v>0</v>
      </c>
      <c r="K235" s="26" t="s">
        <v>53</v>
      </c>
      <c r="L235" s="26" t="n">
        <f aca="false">IF(K235="tl", 0, 1)</f>
        <v>0</v>
      </c>
      <c r="M235" s="26" t="s">
        <v>53</v>
      </c>
      <c r="N235" s="26" t="n">
        <f aca="false">IF(M235="tl", 0, 1)</f>
        <v>0</v>
      </c>
      <c r="P235" s="23" t="n">
        <v>0</v>
      </c>
      <c r="Q235" s="23"/>
      <c r="R235" s="2" t="n">
        <f aca="false">IF(S235=C235, 1, 0)</f>
        <v>1</v>
      </c>
      <c r="S235" s="2" t="s">
        <v>94</v>
      </c>
      <c r="T235" s="2" t="n">
        <v>115</v>
      </c>
      <c r="U235" s="2" t="n">
        <v>613</v>
      </c>
      <c r="V235" s="2" t="s">
        <v>54</v>
      </c>
      <c r="W235" s="2" t="n">
        <v>78</v>
      </c>
      <c r="X235" s="2" t="n">
        <v>19.4607</v>
      </c>
      <c r="Y235" s="2" t="n">
        <v>1800.06</v>
      </c>
      <c r="Z235" s="2" t="n">
        <v>1352.42</v>
      </c>
      <c r="AA235" s="2" t="n">
        <v>13900</v>
      </c>
      <c r="AB235" s="2" t="n">
        <v>1007</v>
      </c>
      <c r="AC235" s="2" t="n">
        <v>2567</v>
      </c>
      <c r="AD235" s="2" t="n">
        <v>4407</v>
      </c>
      <c r="AE235" s="2" t="n">
        <v>7</v>
      </c>
      <c r="AF235" s="2" t="n">
        <v>0</v>
      </c>
      <c r="AG235" s="2" t="n">
        <v>70</v>
      </c>
      <c r="AH235" s="2" t="n">
        <v>14.2478</v>
      </c>
      <c r="AI235" s="2" t="n">
        <v>90</v>
      </c>
      <c r="AJ235" s="2" t="n">
        <f aca="false">IF(V235="Optimal", 1, 0)</f>
        <v>0</v>
      </c>
      <c r="AK235" s="29" t="b">
        <f aca="false">IF(AJ235=1, W235-G235)</f>
        <v>0</v>
      </c>
      <c r="AL235" s="4" t="n">
        <f aca="false">IF(AND(AH235&lt;&gt;-1, G235&lt;&gt;"-", G235&lt;&gt;"."), ((G235-AH235)/G235)*100, -1)</f>
        <v>-1</v>
      </c>
      <c r="AN235" s="5" t="n">
        <f aca="false">IF(AND(AO235=C235, A235=AP235), 1, 0)</f>
        <v>1</v>
      </c>
      <c r="AO235" s="5" t="s">
        <v>94</v>
      </c>
      <c r="AP235" s="5" t="n">
        <v>15</v>
      </c>
      <c r="AQ235" s="5" t="n">
        <v>3600</v>
      </c>
      <c r="AR235" s="5" t="n">
        <v>115</v>
      </c>
      <c r="AS235" s="5" t="n">
        <v>613</v>
      </c>
      <c r="AT235" s="28" t="n">
        <v>3600</v>
      </c>
      <c r="AU235" s="28" t="s">
        <v>54</v>
      </c>
      <c r="AV235" s="28" t="n">
        <v>110.484</v>
      </c>
      <c r="AW235" s="28" t="n">
        <v>41</v>
      </c>
      <c r="AX235" s="28" t="n">
        <v>74</v>
      </c>
      <c r="AY235" s="28" t="n">
        <v>1535</v>
      </c>
      <c r="AZ235" s="28" t="n">
        <v>10802</v>
      </c>
      <c r="BA235" s="28" t="n">
        <v>506</v>
      </c>
      <c r="BB235" s="6" t="n">
        <f aca="false">IF(AU235="Optimal", 1, 0)</f>
        <v>0</v>
      </c>
    </row>
    <row r="236" customFormat="false" ht="12.8" hidden="false" customHeight="false" outlineLevel="0" collapsed="false">
      <c r="A236" s="1" t="n">
        <v>15</v>
      </c>
      <c r="B236" s="23" t="s">
        <v>49</v>
      </c>
      <c r="C236" s="24" t="s">
        <v>95</v>
      </c>
      <c r="D236" s="32" t="n">
        <v>120</v>
      </c>
      <c r="E236" s="32" t="n">
        <v>638</v>
      </c>
      <c r="F236" s="32" t="n">
        <v>22</v>
      </c>
      <c r="G236" s="32" t="s">
        <v>77</v>
      </c>
      <c r="H236" s="3" t="n">
        <v>0</v>
      </c>
      <c r="I236" s="26" t="s">
        <v>53</v>
      </c>
      <c r="J236" s="26" t="n">
        <f aca="false">IF(I236="tl", 0, 1)</f>
        <v>0</v>
      </c>
      <c r="K236" s="26" t="s">
        <v>53</v>
      </c>
      <c r="L236" s="26" t="n">
        <f aca="false">IF(K236="tl", 0, 1)</f>
        <v>0</v>
      </c>
      <c r="M236" s="26" t="s">
        <v>53</v>
      </c>
      <c r="N236" s="26" t="n">
        <f aca="false">IF(M236="tl", 0, 1)</f>
        <v>0</v>
      </c>
      <c r="P236" s="23" t="n">
        <v>0</v>
      </c>
      <c r="Q236" s="23"/>
      <c r="R236" s="2" t="n">
        <f aca="false">IF(S236=C236, 1, 0)</f>
        <v>1</v>
      </c>
      <c r="S236" s="2" t="s">
        <v>95</v>
      </c>
      <c r="T236" s="2" t="n">
        <v>120</v>
      </c>
      <c r="U236" s="2" t="n">
        <v>638</v>
      </c>
      <c r="V236" s="2" t="s">
        <v>54</v>
      </c>
      <c r="W236" s="2" t="n">
        <v>77</v>
      </c>
      <c r="X236" s="2" t="n">
        <v>17.9268</v>
      </c>
      <c r="Y236" s="2" t="n">
        <v>1800.12</v>
      </c>
      <c r="Z236" s="2" t="n">
        <v>1453.9</v>
      </c>
      <c r="AA236" s="2" t="n">
        <v>10169</v>
      </c>
      <c r="AB236" s="2" t="n">
        <v>105</v>
      </c>
      <c r="AC236" s="2" t="n">
        <v>2672</v>
      </c>
      <c r="AD236" s="2" t="n">
        <v>4587</v>
      </c>
      <c r="AE236" s="2" t="n">
        <v>17</v>
      </c>
      <c r="AF236" s="2" t="n">
        <v>0</v>
      </c>
      <c r="AG236" s="2" t="n">
        <v>11</v>
      </c>
      <c r="AH236" s="2" t="n">
        <v>14.2373</v>
      </c>
      <c r="AI236" s="2" t="n">
        <v>93</v>
      </c>
      <c r="AJ236" s="2" t="n">
        <f aca="false">IF(V236="Optimal", 1, 0)</f>
        <v>0</v>
      </c>
      <c r="AK236" s="29" t="b">
        <f aca="false">IF(AJ236=1, W236-G236)</f>
        <v>0</v>
      </c>
      <c r="AL236" s="4" t="n">
        <f aca="false">IF(AND(AH236&lt;&gt;-1, G236&lt;&gt;"-", G236&lt;&gt;"."), ((G236-AH236)/G236)*100, -1)</f>
        <v>-1</v>
      </c>
      <c r="AN236" s="5" t="n">
        <f aca="false">IF(AND(AO236=C236, A236=AP236), 1, 0)</f>
        <v>1</v>
      </c>
      <c r="AO236" s="5" t="s">
        <v>95</v>
      </c>
      <c r="AP236" s="5" t="n">
        <v>15</v>
      </c>
      <c r="AQ236" s="5" t="n">
        <v>3600</v>
      </c>
      <c r="AR236" s="5" t="n">
        <v>120</v>
      </c>
      <c r="AS236" s="5" t="n">
        <v>638</v>
      </c>
      <c r="AT236" s="28" t="n">
        <v>3600</v>
      </c>
      <c r="AU236" s="28" t="s">
        <v>54</v>
      </c>
      <c r="AV236" s="28" t="n">
        <v>116.104</v>
      </c>
      <c r="AW236" s="28" t="n">
        <v>44</v>
      </c>
      <c r="AX236" s="28" t="n">
        <v>76</v>
      </c>
      <c r="AY236" s="28" t="n">
        <v>1651</v>
      </c>
      <c r="AZ236" s="28" t="n">
        <v>9890</v>
      </c>
      <c r="BA236" s="28" t="n">
        <v>372</v>
      </c>
      <c r="BB236" s="6" t="n">
        <f aca="false">IF(AU236="Optimal", 1, 0)</f>
        <v>0</v>
      </c>
    </row>
    <row r="237" customFormat="false" ht="12.8" hidden="false" customHeight="false" outlineLevel="0" collapsed="false">
      <c r="A237" s="1" t="n">
        <v>15</v>
      </c>
      <c r="B237" s="23" t="s">
        <v>67</v>
      </c>
      <c r="C237" s="24" t="s">
        <v>96</v>
      </c>
      <c r="D237" s="32" t="n">
        <v>115</v>
      </c>
      <c r="E237" s="32" t="n">
        <v>576</v>
      </c>
      <c r="F237" s="32" t="n">
        <v>33</v>
      </c>
      <c r="G237" s="32" t="s">
        <v>77</v>
      </c>
      <c r="H237" s="3" t="n">
        <v>0</v>
      </c>
      <c r="I237" s="25" t="s">
        <v>53</v>
      </c>
      <c r="J237" s="26" t="n">
        <f aca="false">IF(I237="tl", 0, 1)</f>
        <v>0</v>
      </c>
      <c r="K237" s="25" t="s">
        <v>53</v>
      </c>
      <c r="L237" s="26" t="n">
        <f aca="false">IF(K237="tl", 0, 1)</f>
        <v>0</v>
      </c>
      <c r="M237" s="25" t="s">
        <v>53</v>
      </c>
      <c r="N237" s="26" t="n">
        <f aca="false">IF(M237="tl", 0, 1)</f>
        <v>0</v>
      </c>
      <c r="P237" s="23" t="n">
        <v>0</v>
      </c>
      <c r="Q237" s="23"/>
      <c r="R237" s="2" t="n">
        <f aca="false">IF(S237=C237, 1, 0)</f>
        <v>1</v>
      </c>
      <c r="S237" s="2" t="s">
        <v>96</v>
      </c>
      <c r="T237" s="2" t="n">
        <v>115</v>
      </c>
      <c r="U237" s="2" t="n">
        <v>576</v>
      </c>
      <c r="V237" s="2" t="s">
        <v>54</v>
      </c>
      <c r="W237" s="2" t="n">
        <v>55</v>
      </c>
      <c r="X237" s="2" t="n">
        <v>19.8395</v>
      </c>
      <c r="Y237" s="2" t="n">
        <v>1800.18</v>
      </c>
      <c r="Z237" s="2" t="n">
        <v>1205.99</v>
      </c>
      <c r="AA237" s="2" t="n">
        <v>13022</v>
      </c>
      <c r="AB237" s="2" t="n">
        <v>331</v>
      </c>
      <c r="AC237" s="2" t="n">
        <v>2419</v>
      </c>
      <c r="AD237" s="2" t="n">
        <v>4148</v>
      </c>
      <c r="AE237" s="2" t="n">
        <v>12</v>
      </c>
      <c r="AF237" s="2" t="n">
        <v>0</v>
      </c>
      <c r="AG237" s="2" t="n">
        <v>57</v>
      </c>
      <c r="AH237" s="2" t="n">
        <v>14.2478</v>
      </c>
      <c r="AI237" s="2" t="n">
        <v>83</v>
      </c>
      <c r="AJ237" s="2" t="n">
        <f aca="false">IF(V237="Optimal", 1, 0)</f>
        <v>0</v>
      </c>
      <c r="AK237" s="29" t="b">
        <f aca="false">IF(AJ237=1, W237-G237)</f>
        <v>0</v>
      </c>
      <c r="AL237" s="4" t="n">
        <f aca="false">IF(AND(AH237&lt;&gt;-1, G237&lt;&gt;"-", G237&lt;&gt;"."), ((G237-AH237)/G237)*100, -1)</f>
        <v>-1</v>
      </c>
      <c r="AN237" s="5" t="n">
        <f aca="false">IF(AND(AO237=C237, A237=AP237), 1, 0)</f>
        <v>1</v>
      </c>
      <c r="AO237" s="5" t="s">
        <v>96</v>
      </c>
      <c r="AP237" s="5" t="n">
        <v>15</v>
      </c>
      <c r="AQ237" s="5" t="n">
        <v>3600</v>
      </c>
      <c r="AR237" s="5" t="n">
        <v>115</v>
      </c>
      <c r="AS237" s="5" t="n">
        <v>576</v>
      </c>
      <c r="AT237" s="28" t="n">
        <v>3600</v>
      </c>
      <c r="AU237" s="28" t="s">
        <v>54</v>
      </c>
      <c r="AV237" s="28" t="n">
        <v>107.592</v>
      </c>
      <c r="AW237" s="28" t="n">
        <v>67</v>
      </c>
      <c r="AX237" s="28" t="n">
        <v>48</v>
      </c>
      <c r="AY237" s="28" t="n">
        <v>1484</v>
      </c>
      <c r="AZ237" s="28" t="n">
        <v>8654</v>
      </c>
      <c r="BA237" s="28" t="n">
        <v>993</v>
      </c>
      <c r="BB237" s="6" t="n">
        <f aca="false">IF(AU237="Optimal", 1, 0)</f>
        <v>0</v>
      </c>
    </row>
    <row r="238" customFormat="false" ht="12.8" hidden="false" customHeight="false" outlineLevel="0" collapsed="false">
      <c r="A238" s="1" t="n">
        <v>15</v>
      </c>
      <c r="B238" s="23" t="s">
        <v>49</v>
      </c>
      <c r="C238" s="24" t="s">
        <v>97</v>
      </c>
      <c r="D238" s="32" t="n">
        <v>74</v>
      </c>
      <c r="E238" s="32" t="n">
        <v>301</v>
      </c>
      <c r="F238" s="32" t="n">
        <v>27</v>
      </c>
      <c r="G238" s="32" t="n">
        <v>6</v>
      </c>
      <c r="H238" s="3" t="n">
        <v>1</v>
      </c>
      <c r="I238" s="26" t="n">
        <v>7.6</v>
      </c>
      <c r="J238" s="26" t="n">
        <f aca="false">IF(I238="tl", 0, 1)</f>
        <v>1</v>
      </c>
      <c r="K238" s="26" t="n">
        <v>53.86</v>
      </c>
      <c r="L238" s="26" t="n">
        <f aca="false">IF(K238="tl", 0, 1)</f>
        <v>1</v>
      </c>
      <c r="M238" s="26" t="n">
        <v>0.03</v>
      </c>
      <c r="N238" s="26" t="n">
        <f aca="false">IF(M238="tl", 0, 1)</f>
        <v>1</v>
      </c>
      <c r="P238" s="23" t="n">
        <v>1</v>
      </c>
      <c r="Q238" s="23"/>
      <c r="R238" s="2" t="n">
        <f aca="false">IF(S238=C238, 1, 0)</f>
        <v>1</v>
      </c>
      <c r="S238" s="2" t="s">
        <v>97</v>
      </c>
      <c r="T238" s="2" t="n">
        <v>74</v>
      </c>
      <c r="U238" s="2" t="n">
        <v>301</v>
      </c>
      <c r="V238" s="2" t="s">
        <v>51</v>
      </c>
      <c r="W238" s="2" t="n">
        <v>6</v>
      </c>
      <c r="X238" s="2" t="n">
        <v>6</v>
      </c>
      <c r="Y238" s="2" t="n">
        <v>7.98883</v>
      </c>
      <c r="Z238" s="2" t="n">
        <v>1.5177</v>
      </c>
      <c r="AA238" s="2" t="n">
        <v>627</v>
      </c>
      <c r="AB238" s="2" t="n">
        <v>5</v>
      </c>
      <c r="AC238" s="2" t="n">
        <v>1278</v>
      </c>
      <c r="AD238" s="2" t="n">
        <v>2182</v>
      </c>
      <c r="AE238" s="2" t="n">
        <v>53</v>
      </c>
      <c r="AF238" s="2" t="n">
        <v>0</v>
      </c>
      <c r="AG238" s="2" t="n">
        <v>2</v>
      </c>
      <c r="AH238" s="2" t="n">
        <v>5</v>
      </c>
      <c r="AI238" s="2" t="n">
        <v>6</v>
      </c>
      <c r="AJ238" s="2" t="n">
        <f aca="false">IF(V238="Optimal", 1, 0)</f>
        <v>1</v>
      </c>
      <c r="AK238" s="3" t="n">
        <f aca="false">IF(AJ238=1, W238-G238)</f>
        <v>0</v>
      </c>
      <c r="AL238" s="4" t="n">
        <f aca="false">IF(AND(AH238&lt;&gt;-1, G238&lt;&gt;"-", G238&lt;&gt;"."), ((G238-AH238)/G238)*100, -1)</f>
        <v>16.6666666666667</v>
      </c>
      <c r="AN238" s="5" t="n">
        <f aca="false">IF(AND(AO238=C238, A238=AP238), 1, 0)</f>
        <v>1</v>
      </c>
      <c r="AO238" s="5" t="s">
        <v>97</v>
      </c>
      <c r="AP238" s="5" t="n">
        <v>15</v>
      </c>
      <c r="AQ238" s="5" t="n">
        <v>3600</v>
      </c>
      <c r="AR238" s="5" t="n">
        <v>74</v>
      </c>
      <c r="AS238" s="5" t="n">
        <v>301</v>
      </c>
      <c r="AT238" s="28" t="n">
        <v>976.365</v>
      </c>
      <c r="AU238" s="28" t="s">
        <v>51</v>
      </c>
      <c r="AV238" s="28" t="n">
        <v>68</v>
      </c>
      <c r="AW238" s="28" t="n">
        <v>68</v>
      </c>
      <c r="AX238" s="28" t="n">
        <v>6</v>
      </c>
      <c r="AY238" s="28" t="n">
        <v>1005</v>
      </c>
      <c r="AZ238" s="28" t="n">
        <v>3118</v>
      </c>
      <c r="BA238" s="28" t="n">
        <v>8256</v>
      </c>
      <c r="BB238" s="6" t="n">
        <f aca="false">IF(AU238="Optimal", 1, 0)</f>
        <v>1</v>
      </c>
    </row>
    <row r="239" customFormat="false" ht="12.8" hidden="false" customHeight="false" outlineLevel="0" collapsed="false">
      <c r="A239" s="1" t="n">
        <v>15</v>
      </c>
      <c r="B239" s="23" t="s">
        <v>67</v>
      </c>
      <c r="C239" s="24" t="s">
        <v>99</v>
      </c>
      <c r="D239" s="32" t="n">
        <v>59</v>
      </c>
      <c r="E239" s="32" t="n">
        <v>329</v>
      </c>
      <c r="F239" s="32" t="n">
        <v>20</v>
      </c>
      <c r="G239" s="32" t="n">
        <v>23</v>
      </c>
      <c r="H239" s="3" t="n">
        <v>1</v>
      </c>
      <c r="I239" s="25" t="n">
        <v>9.6</v>
      </c>
      <c r="J239" s="26" t="n">
        <f aca="false">IF(I239="tl", 0, 1)</f>
        <v>1</v>
      </c>
      <c r="K239" s="25" t="n">
        <v>13.91</v>
      </c>
      <c r="L239" s="26" t="n">
        <f aca="false">IF(K239="tl", 0, 1)</f>
        <v>1</v>
      </c>
      <c r="M239" s="25" t="n">
        <v>29.6</v>
      </c>
      <c r="N239" s="26" t="n">
        <f aca="false">IF(M239="tl", 0, 1)</f>
        <v>1</v>
      </c>
      <c r="P239" s="23" t="n">
        <v>0</v>
      </c>
      <c r="Q239" s="23"/>
      <c r="R239" s="2" t="n">
        <f aca="false">IF(S239=C239, 1, 0)</f>
        <v>1</v>
      </c>
      <c r="S239" s="2" t="s">
        <v>99</v>
      </c>
      <c r="T239" s="2" t="n">
        <v>59</v>
      </c>
      <c r="U239" s="2" t="n">
        <v>329</v>
      </c>
      <c r="V239" s="2" t="s">
        <v>51</v>
      </c>
      <c r="W239" s="2" t="n">
        <v>23</v>
      </c>
      <c r="X239" s="2" t="n">
        <v>23</v>
      </c>
      <c r="Y239" s="2" t="n">
        <v>101.648</v>
      </c>
      <c r="Z239" s="2" t="n">
        <v>69.9752</v>
      </c>
      <c r="AA239" s="2" t="n">
        <v>3737</v>
      </c>
      <c r="AB239" s="2" t="n">
        <v>194</v>
      </c>
      <c r="AC239" s="2" t="n">
        <v>1375</v>
      </c>
      <c r="AD239" s="2" t="n">
        <v>2363</v>
      </c>
      <c r="AE239" s="2" t="n">
        <v>20</v>
      </c>
      <c r="AF239" s="2" t="n">
        <v>1</v>
      </c>
      <c r="AG239" s="2" t="n">
        <v>17</v>
      </c>
      <c r="AH239" s="2" t="n">
        <v>14.2093</v>
      </c>
      <c r="AI239" s="2" t="n">
        <v>35</v>
      </c>
      <c r="AJ239" s="2" t="n">
        <f aca="false">IF(V239="Optimal", 1, 0)</f>
        <v>1</v>
      </c>
      <c r="AK239" s="3" t="n">
        <f aca="false">IF(AJ239=1, W239-G239)</f>
        <v>0</v>
      </c>
      <c r="AL239" s="4" t="n">
        <f aca="false">IF(AND(AH239&lt;&gt;-1, G239&lt;&gt;"-", G239&lt;&gt;"."), ((G239-AH239)/G239)*100, -1)</f>
        <v>38.2204347826087</v>
      </c>
      <c r="AN239" s="5" t="n">
        <f aca="false">IF(AND(AO239=C239, A239=AP239), 1, 0)</f>
        <v>1</v>
      </c>
      <c r="AO239" s="5" t="s">
        <v>99</v>
      </c>
      <c r="AP239" s="5" t="n">
        <v>15</v>
      </c>
      <c r="AQ239" s="5" t="n">
        <v>3600</v>
      </c>
      <c r="AR239" s="5" t="n">
        <v>59</v>
      </c>
      <c r="AS239" s="5" t="n">
        <v>329</v>
      </c>
      <c r="AT239" s="28" t="n">
        <v>2306.71</v>
      </c>
      <c r="AU239" s="28" t="s">
        <v>51</v>
      </c>
      <c r="AV239" s="28" t="n">
        <v>36</v>
      </c>
      <c r="AW239" s="28" t="n">
        <v>36</v>
      </c>
      <c r="AX239" s="28" t="n">
        <v>23</v>
      </c>
      <c r="AY239" s="28" t="n">
        <v>603</v>
      </c>
      <c r="AZ239" s="28" t="n">
        <v>3454</v>
      </c>
      <c r="BA239" s="28" t="n">
        <v>30423</v>
      </c>
      <c r="BB239" s="6" t="n">
        <f aca="false">IF(AU239="Optimal", 1, 0)</f>
        <v>1</v>
      </c>
    </row>
    <row r="240" customFormat="false" ht="12.8" hidden="false" customHeight="false" outlineLevel="0" collapsed="false">
      <c r="A240" s="1" t="n">
        <v>15</v>
      </c>
      <c r="B240" s="23" t="s">
        <v>64</v>
      </c>
      <c r="C240" s="24" t="s">
        <v>100</v>
      </c>
      <c r="D240" s="32" t="n">
        <v>198</v>
      </c>
      <c r="E240" s="32" t="n">
        <v>2742</v>
      </c>
      <c r="F240" s="32" t="n">
        <v>40</v>
      </c>
      <c r="G240" s="32" t="n">
        <v>25</v>
      </c>
      <c r="H240" s="3" t="n">
        <v>1</v>
      </c>
      <c r="I240" s="26" t="s">
        <v>53</v>
      </c>
      <c r="J240" s="26" t="n">
        <f aca="false">IF(I240="tl", 0, 1)</f>
        <v>0</v>
      </c>
      <c r="K240" s="26" t="n">
        <v>82.9</v>
      </c>
      <c r="L240" s="26" t="n">
        <f aca="false">IF(K240="tl", 0, 1)</f>
        <v>1</v>
      </c>
      <c r="M240" s="26" t="s">
        <v>53</v>
      </c>
      <c r="N240" s="26" t="n">
        <f aca="false">IF(M240="tl", 0, 1)</f>
        <v>0</v>
      </c>
      <c r="P240" s="23" t="n">
        <v>0</v>
      </c>
      <c r="Q240" s="23"/>
      <c r="R240" s="2" t="n">
        <f aca="false">IF(S240=C240, 1, 0)</f>
        <v>1</v>
      </c>
      <c r="S240" s="2" t="s">
        <v>100</v>
      </c>
      <c r="T240" s="2" t="n">
        <v>198</v>
      </c>
      <c r="U240" s="2" t="n">
        <v>2742</v>
      </c>
      <c r="V240" s="2" t="s">
        <v>54</v>
      </c>
      <c r="W240" s="2" t="n">
        <v>152</v>
      </c>
      <c r="X240" s="2" t="n">
        <v>13.7801</v>
      </c>
      <c r="Y240" s="2" t="n">
        <v>1800.17</v>
      </c>
      <c r="Z240" s="2" t="n">
        <v>113.488</v>
      </c>
      <c r="AA240" s="2" t="n">
        <v>3932</v>
      </c>
      <c r="AB240" s="2" t="n">
        <v>3</v>
      </c>
      <c r="AC240" s="2" t="n">
        <v>11166</v>
      </c>
      <c r="AD240" s="2" t="n">
        <v>19393</v>
      </c>
      <c r="AE240" s="2" t="n">
        <v>117</v>
      </c>
      <c r="AF240" s="2" t="n">
        <v>0</v>
      </c>
      <c r="AG240" s="2" t="n">
        <v>1</v>
      </c>
      <c r="AH240" s="2" t="n">
        <v>13.7801</v>
      </c>
      <c r="AI240" s="2" t="n">
        <v>152</v>
      </c>
      <c r="AJ240" s="2" t="n">
        <f aca="false">IF(V240="Optimal", 1, 0)</f>
        <v>0</v>
      </c>
      <c r="AK240" s="29" t="b">
        <f aca="false">IF(AJ240=1, W240-G240)</f>
        <v>0</v>
      </c>
      <c r="AL240" s="4" t="n">
        <f aca="false">IF(AND(AH240&lt;&gt;-1, G240&lt;&gt;"-", G240&lt;&gt;"."), ((G240-AH240)/G240)*100, -1)</f>
        <v>44.8796</v>
      </c>
      <c r="AN240" s="5" t="n">
        <f aca="false">IF(AND(AO240=C240, A240=AP240), 1, 0)</f>
        <v>1</v>
      </c>
      <c r="AO240" s="5" t="s">
        <v>100</v>
      </c>
      <c r="AP240" s="5" t="n">
        <v>15</v>
      </c>
      <c r="AQ240" s="5" t="n">
        <v>3600</v>
      </c>
      <c r="AR240" s="5" t="n">
        <v>198</v>
      </c>
      <c r="AS240" s="5" t="n">
        <v>2742</v>
      </c>
      <c r="AT240" s="28" t="n">
        <v>3600.01</v>
      </c>
      <c r="AU240" s="28" t="s">
        <v>54</v>
      </c>
      <c r="AV240" s="28" t="n">
        <v>196.306</v>
      </c>
      <c r="AW240" s="28" t="n">
        <v>163</v>
      </c>
      <c r="AX240" s="28" t="n">
        <v>35</v>
      </c>
      <c r="AY240" s="28" t="n">
        <v>2818</v>
      </c>
      <c r="AZ240" s="28" t="n">
        <v>39032</v>
      </c>
      <c r="BA240" s="28" t="n">
        <v>11</v>
      </c>
      <c r="BB240" s="6" t="n">
        <f aca="false">IF(AU240="Optimal", 1, 0)</f>
        <v>0</v>
      </c>
    </row>
    <row r="241" customFormat="false" ht="12.8" hidden="false" customHeight="false" outlineLevel="0" collapsed="false">
      <c r="A241" s="1" t="n">
        <v>15</v>
      </c>
      <c r="B241" s="23" t="s">
        <v>49</v>
      </c>
      <c r="C241" s="24" t="s">
        <v>101</v>
      </c>
      <c r="D241" s="32" t="n">
        <v>80</v>
      </c>
      <c r="E241" s="32" t="n">
        <v>254</v>
      </c>
      <c r="F241" s="32" t="n">
        <v>38</v>
      </c>
      <c r="G241" s="32" t="n">
        <v>2</v>
      </c>
      <c r="H241" s="3" t="n">
        <v>1</v>
      </c>
      <c r="I241" s="26" t="n">
        <v>0.36</v>
      </c>
      <c r="J241" s="26" t="n">
        <f aca="false">IF(I241="tl", 0, 1)</f>
        <v>1</v>
      </c>
      <c r="K241" s="26" t="n">
        <v>3.62</v>
      </c>
      <c r="L241" s="26" t="n">
        <f aca="false">IF(K241="tl", 0, 1)</f>
        <v>1</v>
      </c>
      <c r="M241" s="26" t="n">
        <v>0</v>
      </c>
      <c r="N241" s="26" t="n">
        <f aca="false">IF(M241="tl", 0, 1)</f>
        <v>1</v>
      </c>
      <c r="P241" s="23" t="n">
        <v>0</v>
      </c>
      <c r="Q241" s="23"/>
      <c r="R241" s="2" t="n">
        <f aca="false">IF(S241=C241, 1, 0)</f>
        <v>1</v>
      </c>
      <c r="S241" s="2" t="s">
        <v>101</v>
      </c>
      <c r="T241" s="2" t="n">
        <v>80</v>
      </c>
      <c r="U241" s="2" t="n">
        <v>254</v>
      </c>
      <c r="V241" s="2" t="s">
        <v>51</v>
      </c>
      <c r="W241" s="2" t="n">
        <v>2</v>
      </c>
      <c r="X241" s="2" t="n">
        <v>2</v>
      </c>
      <c r="Y241" s="2" t="n">
        <v>1.01158</v>
      </c>
      <c r="Z241" s="2" t="n">
        <v>0.401557</v>
      </c>
      <c r="AA241" s="2" t="n">
        <v>451</v>
      </c>
      <c r="AB241" s="2" t="n">
        <v>1</v>
      </c>
      <c r="AC241" s="2" t="n">
        <v>1096</v>
      </c>
      <c r="AD241" s="2" t="n">
        <v>1859</v>
      </c>
      <c r="AE241" s="2" t="n">
        <v>117</v>
      </c>
      <c r="AF241" s="2" t="n">
        <v>0</v>
      </c>
      <c r="AG241" s="2" t="n">
        <v>0</v>
      </c>
      <c r="AH241" s="2" t="n">
        <v>-1</v>
      </c>
      <c r="AI241" s="2" t="n">
        <v>-1</v>
      </c>
      <c r="AJ241" s="2" t="n">
        <f aca="false">IF(V241="Optimal", 1, 0)</f>
        <v>1</v>
      </c>
      <c r="AK241" s="3" t="n">
        <f aca="false">IF(AJ241=1, W241-G241)</f>
        <v>0</v>
      </c>
      <c r="AL241" s="4" t="n">
        <f aca="false">IF(AND(AH241&lt;&gt;-1, G241&lt;&gt;"-", G241&lt;&gt;"."), ((G241-AH241)/G241)*100, -1)</f>
        <v>-1</v>
      </c>
      <c r="AN241" s="5" t="n">
        <f aca="false">IF(AND(AO241=C241, A241=AP241), 1, 0)</f>
        <v>1</v>
      </c>
      <c r="AO241" s="5" t="s">
        <v>101</v>
      </c>
      <c r="AP241" s="5" t="n">
        <v>15</v>
      </c>
      <c r="AQ241" s="5" t="n">
        <v>3600</v>
      </c>
      <c r="AR241" s="5" t="n">
        <v>80</v>
      </c>
      <c r="AS241" s="5" t="n">
        <v>254</v>
      </c>
      <c r="AT241" s="28" t="n">
        <v>107.449</v>
      </c>
      <c r="AU241" s="28" t="s">
        <v>51</v>
      </c>
      <c r="AV241" s="28" t="n">
        <v>78</v>
      </c>
      <c r="AW241" s="28" t="n">
        <v>78</v>
      </c>
      <c r="AX241" s="28" t="n">
        <v>2</v>
      </c>
      <c r="AY241" s="28" t="n">
        <v>1056</v>
      </c>
      <c r="AZ241" s="28" t="n">
        <v>3188</v>
      </c>
      <c r="BA241" s="28" t="n">
        <v>20</v>
      </c>
      <c r="BB241" s="6" t="n">
        <f aca="false">IF(AU241="Optimal", 1, 0)</f>
        <v>1</v>
      </c>
    </row>
    <row r="242" customFormat="false" ht="12.8" hidden="false" customHeight="false" outlineLevel="0" collapsed="false">
      <c r="A242" s="1" t="n">
        <v>15</v>
      </c>
      <c r="B242" s="23" t="s">
        <v>64</v>
      </c>
      <c r="C242" s="24" t="s">
        <v>102</v>
      </c>
      <c r="D242" s="32" t="n">
        <v>34</v>
      </c>
      <c r="E242" s="32" t="n">
        <v>78</v>
      </c>
      <c r="F242" s="32" t="n">
        <v>20</v>
      </c>
      <c r="G242" s="32" t="n">
        <v>6</v>
      </c>
      <c r="H242" s="3" t="n">
        <v>1</v>
      </c>
      <c r="I242" s="26" t="n">
        <v>0.06</v>
      </c>
      <c r="J242" s="26" t="n">
        <f aca="false">IF(I242="tl", 0, 1)</f>
        <v>1</v>
      </c>
      <c r="K242" s="26" t="n">
        <v>0.11</v>
      </c>
      <c r="L242" s="26" t="n">
        <f aca="false">IF(K242="tl", 0, 1)</f>
        <v>1</v>
      </c>
      <c r="M242" s="26" t="n">
        <v>0</v>
      </c>
      <c r="N242" s="26" t="n">
        <f aca="false">IF(M242="tl", 0, 1)</f>
        <v>1</v>
      </c>
      <c r="P242" s="23" t="n">
        <v>2</v>
      </c>
      <c r="Q242" s="23"/>
      <c r="R242" s="2" t="n">
        <f aca="false">IF(S242=C242, 1, 0)</f>
        <v>1</v>
      </c>
      <c r="S242" s="2" t="s">
        <v>102</v>
      </c>
      <c r="T242" s="2" t="n">
        <v>34</v>
      </c>
      <c r="U242" s="2" t="n">
        <v>78</v>
      </c>
      <c r="V242" s="2" t="s">
        <v>51</v>
      </c>
      <c r="W242" s="2" t="n">
        <v>6</v>
      </c>
      <c r="X242" s="2" t="n">
        <v>6</v>
      </c>
      <c r="Y242" s="2" t="n">
        <v>0.08175</v>
      </c>
      <c r="Z242" s="2" t="n">
        <v>0.046682</v>
      </c>
      <c r="AA242" s="2" t="n">
        <v>119</v>
      </c>
      <c r="AB242" s="2" t="n">
        <v>1</v>
      </c>
      <c r="AC242" s="2" t="n">
        <v>346</v>
      </c>
      <c r="AD242" s="2" t="n">
        <v>581</v>
      </c>
      <c r="AE242" s="2" t="n">
        <v>7</v>
      </c>
      <c r="AF242" s="2" t="n">
        <v>0</v>
      </c>
      <c r="AG242" s="2" t="n">
        <v>0</v>
      </c>
      <c r="AH242" s="2" t="n">
        <v>-1</v>
      </c>
      <c r="AI242" s="2" t="n">
        <v>-1</v>
      </c>
      <c r="AJ242" s="2" t="n">
        <f aca="false">IF(V242="Optimal", 1, 0)</f>
        <v>1</v>
      </c>
      <c r="AK242" s="3" t="n">
        <f aca="false">IF(AJ242=1, W242-G242)</f>
        <v>0</v>
      </c>
      <c r="AL242" s="4" t="n">
        <f aca="false">IF(AND(AH242&lt;&gt;-1, G242&lt;&gt;"-", G242&lt;&gt;"."), ((G242-AH242)/G242)*100, -1)</f>
        <v>-1</v>
      </c>
      <c r="AN242" s="5" t="n">
        <f aca="false">IF(AND(AO242=C242, A242=AP242), 1, 0)</f>
        <v>1</v>
      </c>
      <c r="AO242" s="5" t="s">
        <v>102</v>
      </c>
      <c r="AP242" s="5" t="n">
        <v>15</v>
      </c>
      <c r="AQ242" s="5" t="n">
        <v>3600</v>
      </c>
      <c r="AR242" s="5" t="n">
        <v>34</v>
      </c>
      <c r="AS242" s="5" t="n">
        <v>78</v>
      </c>
      <c r="AT242" s="28" t="n">
        <v>57.4607</v>
      </c>
      <c r="AU242" s="28" t="s">
        <v>51</v>
      </c>
      <c r="AV242" s="28" t="n">
        <v>28</v>
      </c>
      <c r="AW242" s="28" t="n">
        <v>28</v>
      </c>
      <c r="AX242" s="28" t="n">
        <v>6</v>
      </c>
      <c r="AY242" s="28" t="n">
        <v>337</v>
      </c>
      <c r="AZ242" s="28" t="n">
        <v>861</v>
      </c>
      <c r="BA242" s="28" t="n">
        <v>14</v>
      </c>
      <c r="BB242" s="6" t="n">
        <f aca="false">IF(AU242="Optimal", 1, 0)</f>
        <v>1</v>
      </c>
    </row>
    <row r="243" customFormat="false" ht="12.8" hidden="false" customHeight="false" outlineLevel="0" collapsed="false">
      <c r="A243" s="1" t="n">
        <v>15</v>
      </c>
      <c r="B243" s="23" t="s">
        <v>67</v>
      </c>
      <c r="C243" s="24" t="s">
        <v>103</v>
      </c>
      <c r="D243" s="32" t="n">
        <v>100</v>
      </c>
      <c r="E243" s="32" t="n">
        <v>1844</v>
      </c>
      <c r="F243" s="32" t="n">
        <v>36</v>
      </c>
      <c r="G243" s="32" t="n">
        <v>21</v>
      </c>
      <c r="H243" s="3" t="n">
        <v>1</v>
      </c>
      <c r="I243" s="25" t="n">
        <v>5.48</v>
      </c>
      <c r="J243" s="26" t="n">
        <f aca="false">IF(I243="tl", 0, 1)</f>
        <v>1</v>
      </c>
      <c r="K243" s="25" t="s">
        <v>53</v>
      </c>
      <c r="L243" s="26" t="n">
        <f aca="false">IF(K243="tl", 0, 1)</f>
        <v>0</v>
      </c>
      <c r="M243" s="25" t="n">
        <v>3.49</v>
      </c>
      <c r="N243" s="26" t="n">
        <f aca="false">IF(M243="tl", 0, 1)</f>
        <v>1</v>
      </c>
      <c r="P243" s="23" t="n">
        <v>0</v>
      </c>
      <c r="Q243" s="23"/>
      <c r="R243" s="2" t="n">
        <f aca="false">IF(S243=C243, 1, 0)</f>
        <v>1</v>
      </c>
      <c r="S243" s="2" t="s">
        <v>103</v>
      </c>
      <c r="T243" s="2" t="n">
        <v>100</v>
      </c>
      <c r="U243" s="2" t="n">
        <v>1844</v>
      </c>
      <c r="V243" s="2" t="s">
        <v>54</v>
      </c>
      <c r="W243" s="2" t="n">
        <v>82</v>
      </c>
      <c r="X243" s="2" t="n">
        <v>15.2887</v>
      </c>
      <c r="Y243" s="2" t="n">
        <v>1800</v>
      </c>
      <c r="Z243" s="2" t="n">
        <v>87.6646</v>
      </c>
      <c r="AA243" s="2" t="n">
        <v>7819</v>
      </c>
      <c r="AB243" s="2" t="n">
        <v>4</v>
      </c>
      <c r="AC243" s="2" t="n">
        <v>7476</v>
      </c>
      <c r="AD243" s="2" t="n">
        <v>13009</v>
      </c>
      <c r="AE243" s="2" t="n">
        <v>14</v>
      </c>
      <c r="AF243" s="2" t="n">
        <v>0</v>
      </c>
      <c r="AG243" s="2" t="n">
        <v>2</v>
      </c>
      <c r="AH243" s="2" t="n">
        <v>14.2857</v>
      </c>
      <c r="AI243" s="2" t="n">
        <v>82</v>
      </c>
      <c r="AJ243" s="2" t="n">
        <f aca="false">IF(V243="Optimal", 1, 0)</f>
        <v>0</v>
      </c>
      <c r="AK243" s="29" t="b">
        <f aca="false">IF(AJ243=1, W243-G243)</f>
        <v>0</v>
      </c>
      <c r="AL243" s="4" t="n">
        <f aca="false">IF(AND(AH243&lt;&gt;-1, G243&lt;&gt;"-", G243&lt;&gt;"."), ((G243-AH243)/G243)*100, -1)</f>
        <v>31.9728571428571</v>
      </c>
      <c r="AN243" s="5" t="n">
        <f aca="false">IF(AND(AO243=C243, A243=AP243), 1, 0)</f>
        <v>1</v>
      </c>
      <c r="AO243" s="5" t="s">
        <v>103</v>
      </c>
      <c r="AP243" s="5" t="n">
        <v>15</v>
      </c>
      <c r="AQ243" s="5" t="n">
        <v>3600</v>
      </c>
      <c r="AR243" s="5" t="n">
        <v>100</v>
      </c>
      <c r="AS243" s="5" t="n">
        <v>1844</v>
      </c>
      <c r="AT243" s="28" t="n">
        <v>3600.01</v>
      </c>
      <c r="AU243" s="28" t="s">
        <v>54</v>
      </c>
      <c r="AV243" s="28" t="n">
        <v>88.2229</v>
      </c>
      <c r="AW243" s="28" t="n">
        <v>79</v>
      </c>
      <c r="AX243" s="28" t="n">
        <v>21</v>
      </c>
      <c r="AY243" s="28" t="n">
        <v>1500</v>
      </c>
      <c r="AZ243" s="28" t="n">
        <v>28025</v>
      </c>
      <c r="BA243" s="28" t="n">
        <v>1817</v>
      </c>
      <c r="BB243" s="6" t="n">
        <f aca="false">IF(AU243="Optimal", 1, 0)</f>
        <v>0</v>
      </c>
    </row>
    <row r="244" customFormat="false" ht="12.8" hidden="false" customHeight="false" outlineLevel="0" collapsed="false">
      <c r="A244" s="1" t="n">
        <v>15</v>
      </c>
      <c r="B244" s="23" t="s">
        <v>67</v>
      </c>
      <c r="C244" s="24" t="s">
        <v>108</v>
      </c>
      <c r="D244" s="32" t="n">
        <v>100</v>
      </c>
      <c r="E244" s="32" t="n">
        <v>2956</v>
      </c>
      <c r="F244" s="32" t="n">
        <v>17</v>
      </c>
      <c r="G244" s="32" t="n">
        <v>48</v>
      </c>
      <c r="H244" s="3" t="n">
        <v>1</v>
      </c>
      <c r="I244" s="25" t="n">
        <v>0.51</v>
      </c>
      <c r="J244" s="26" t="n">
        <f aca="false">IF(I244="tl", 0, 1)</f>
        <v>1</v>
      </c>
      <c r="K244" s="25" t="n">
        <v>0.58</v>
      </c>
      <c r="L244" s="26" t="n">
        <f aca="false">IF(K244="tl", 0, 1)</f>
        <v>1</v>
      </c>
      <c r="M244" s="25" t="n">
        <v>0.99</v>
      </c>
      <c r="N244" s="26" t="n">
        <f aca="false">IF(M244="tl", 0, 1)</f>
        <v>1</v>
      </c>
      <c r="P244" s="23" t="n">
        <v>37</v>
      </c>
      <c r="Q244" s="23"/>
      <c r="R244" s="2" t="n">
        <f aca="false">IF(S244=C244, 1, 0)</f>
        <v>1</v>
      </c>
      <c r="S244" s="2" t="s">
        <v>108</v>
      </c>
      <c r="T244" s="2" t="n">
        <v>100</v>
      </c>
      <c r="U244" s="2" t="n">
        <v>2956</v>
      </c>
      <c r="V244" s="2" t="s">
        <v>54</v>
      </c>
      <c r="W244" s="2" t="n">
        <v>48</v>
      </c>
      <c r="X244" s="2" t="n">
        <v>15.1368</v>
      </c>
      <c r="Y244" s="2" t="n">
        <v>1800</v>
      </c>
      <c r="Z244" s="2" t="n">
        <v>372.507</v>
      </c>
      <c r="AA244" s="2" t="n">
        <v>6941</v>
      </c>
      <c r="AB244" s="2" t="n">
        <v>141</v>
      </c>
      <c r="AC244" s="2" t="n">
        <v>11924</v>
      </c>
      <c r="AD244" s="2" t="n">
        <v>20793</v>
      </c>
      <c r="AE244" s="2" t="n">
        <v>12</v>
      </c>
      <c r="AF244" s="2" t="n">
        <v>8</v>
      </c>
      <c r="AG244" s="2" t="n">
        <v>77</v>
      </c>
      <c r="AH244" s="2" t="n">
        <v>14.1354</v>
      </c>
      <c r="AI244" s="2" t="n">
        <v>84</v>
      </c>
      <c r="AJ244" s="2" t="n">
        <f aca="false">IF(V244="Optimal", 1, 0)</f>
        <v>0</v>
      </c>
      <c r="AK244" s="29" t="b">
        <f aca="false">IF(AJ244=1, W244-G244)</f>
        <v>0</v>
      </c>
      <c r="AL244" s="4" t="n">
        <f aca="false">IF(AND(AH244&lt;&gt;-1, G244&lt;&gt;"-", G244&lt;&gt;"."), ((G244-AH244)/G244)*100, -1)</f>
        <v>70.55125</v>
      </c>
      <c r="AN244" s="5" t="n">
        <f aca="false">IF(AND(AO244=C244, A244=AP244), 1, 0)</f>
        <v>1</v>
      </c>
      <c r="AO244" s="5" t="s">
        <v>108</v>
      </c>
      <c r="AP244" s="5" t="n">
        <v>15</v>
      </c>
      <c r="AQ244" s="5" t="n">
        <v>3600</v>
      </c>
      <c r="AR244" s="5" t="n">
        <v>100</v>
      </c>
      <c r="AS244" s="5" t="n">
        <v>2956</v>
      </c>
      <c r="AT244" s="28" t="n">
        <v>3600</v>
      </c>
      <c r="AU244" s="28" t="s">
        <v>54</v>
      </c>
      <c r="AV244" s="28" t="n">
        <v>88.1637</v>
      </c>
      <c r="AW244" s="28" t="n">
        <v>49</v>
      </c>
      <c r="AX244" s="28" t="n">
        <v>51</v>
      </c>
      <c r="AY244" s="28" t="n">
        <v>1097</v>
      </c>
      <c r="AZ244" s="28" t="n">
        <v>29140</v>
      </c>
      <c r="BA244" s="28" t="n">
        <v>1</v>
      </c>
      <c r="BB244" s="6" t="n">
        <f aca="false">IF(AU244="Optimal", 1, 0)</f>
        <v>0</v>
      </c>
    </row>
    <row r="245" customFormat="false" ht="12.8" hidden="false" customHeight="false" outlineLevel="0" collapsed="false">
      <c r="A245" s="1" t="n">
        <v>15</v>
      </c>
      <c r="B245" s="23" t="s">
        <v>67</v>
      </c>
      <c r="C245" s="24" t="s">
        <v>110</v>
      </c>
      <c r="D245" s="32" t="n">
        <v>100</v>
      </c>
      <c r="E245" s="32" t="n">
        <v>2934</v>
      </c>
      <c r="F245" s="32" t="n">
        <v>15</v>
      </c>
      <c r="G245" s="32" t="n">
        <v>53</v>
      </c>
      <c r="H245" s="3" t="n">
        <v>1</v>
      </c>
      <c r="I245" s="25" t="n">
        <v>0.44</v>
      </c>
      <c r="J245" s="26" t="n">
        <f aca="false">IF(I245="tl", 0, 1)</f>
        <v>1</v>
      </c>
      <c r="K245" s="25" t="n">
        <v>0.35</v>
      </c>
      <c r="L245" s="26" t="n">
        <f aca="false">IF(K245="tl", 0, 1)</f>
        <v>1</v>
      </c>
      <c r="M245" s="25" t="n">
        <v>3.17</v>
      </c>
      <c r="N245" s="26" t="n">
        <f aca="false">IF(M245="tl", 0, 1)</f>
        <v>1</v>
      </c>
      <c r="P245" s="23" t="n">
        <v>50</v>
      </c>
      <c r="Q245" s="23"/>
      <c r="R245" s="2" t="n">
        <f aca="false">IF(S245=C245, 1, 0)</f>
        <v>1</v>
      </c>
      <c r="S245" s="2" t="s">
        <v>110</v>
      </c>
      <c r="T245" s="2" t="n">
        <v>100</v>
      </c>
      <c r="U245" s="2" t="n">
        <v>2934</v>
      </c>
      <c r="V245" s="2" t="s">
        <v>54</v>
      </c>
      <c r="W245" s="2" t="n">
        <v>53</v>
      </c>
      <c r="X245" s="2" t="n">
        <v>15.125</v>
      </c>
      <c r="Y245" s="2" t="n">
        <v>1800.02</v>
      </c>
      <c r="Z245" s="2" t="n">
        <v>661.504</v>
      </c>
      <c r="AA245" s="2" t="n">
        <v>7902</v>
      </c>
      <c r="AB245" s="2" t="n">
        <v>82</v>
      </c>
      <c r="AC245" s="2" t="n">
        <v>11836</v>
      </c>
      <c r="AD245" s="2" t="n">
        <v>20639</v>
      </c>
      <c r="AE245" s="2" t="n">
        <v>18</v>
      </c>
      <c r="AF245" s="2" t="n">
        <v>0</v>
      </c>
      <c r="AG245" s="2" t="n">
        <v>76</v>
      </c>
      <c r="AH245" s="2" t="n">
        <v>13.1429</v>
      </c>
      <c r="AI245" s="42" t="n">
        <v>1E+020</v>
      </c>
      <c r="AJ245" s="2" t="n">
        <f aca="false">IF(V245="Optimal", 1, 0)</f>
        <v>0</v>
      </c>
      <c r="AK245" s="29" t="b">
        <f aca="false">IF(AJ245=1, W245-G245)</f>
        <v>0</v>
      </c>
      <c r="AL245" s="4" t="n">
        <f aca="false">IF(AND(AH245&lt;&gt;-1, G245&lt;&gt;"-", G245&lt;&gt;"."), ((G245-AH245)/G245)*100, -1)</f>
        <v>75.2020754716981</v>
      </c>
      <c r="AN245" s="5" t="n">
        <f aca="false">IF(AND(AO245=C245, A245=AP245), 1, 0)</f>
        <v>1</v>
      </c>
      <c r="AO245" s="5" t="s">
        <v>110</v>
      </c>
      <c r="AP245" s="5" t="n">
        <v>15</v>
      </c>
      <c r="AQ245" s="5" t="n">
        <v>3600</v>
      </c>
      <c r="AR245" s="5" t="n">
        <v>100</v>
      </c>
      <c r="AS245" s="5" t="n">
        <v>2934</v>
      </c>
      <c r="AT245" s="28" t="n">
        <v>104.552</v>
      </c>
      <c r="AU245" s="28" t="s">
        <v>51</v>
      </c>
      <c r="AV245" s="28" t="n">
        <v>47</v>
      </c>
      <c r="AW245" s="28" t="n">
        <v>47</v>
      </c>
      <c r="AX245" s="28" t="n">
        <v>53</v>
      </c>
      <c r="AY245" s="28" t="n">
        <v>654</v>
      </c>
      <c r="AZ245" s="28" t="n">
        <v>12506</v>
      </c>
      <c r="BA245" s="28" t="n">
        <v>1</v>
      </c>
      <c r="BB245" s="6" t="n">
        <f aca="false">IF(AU245="Optimal", 1, 0)</f>
        <v>1</v>
      </c>
    </row>
    <row r="246" customFormat="false" ht="12.8" hidden="false" customHeight="false" outlineLevel="0" collapsed="false">
      <c r="A246" s="1" t="n">
        <v>15</v>
      </c>
      <c r="B246" s="23" t="s">
        <v>67</v>
      </c>
      <c r="C246" s="24" t="s">
        <v>111</v>
      </c>
      <c r="D246" s="32" t="n">
        <v>120</v>
      </c>
      <c r="E246" s="32" t="n">
        <v>2972</v>
      </c>
      <c r="F246" s="32" t="n">
        <v>36</v>
      </c>
      <c r="G246" s="32" t="n">
        <v>23</v>
      </c>
      <c r="H246" s="3" t="n">
        <v>1</v>
      </c>
      <c r="I246" s="25" t="n">
        <v>6.56</v>
      </c>
      <c r="J246" s="26" t="n">
        <f aca="false">IF(I246="tl", 0, 1)</f>
        <v>1</v>
      </c>
      <c r="K246" s="25" t="s">
        <v>53</v>
      </c>
      <c r="L246" s="26" t="n">
        <f aca="false">IF(K246="tl", 0, 1)</f>
        <v>0</v>
      </c>
      <c r="M246" s="25" t="n">
        <v>10.24</v>
      </c>
      <c r="N246" s="26" t="n">
        <f aca="false">IF(M246="tl", 0, 1)</f>
        <v>1</v>
      </c>
      <c r="P246" s="23" t="n">
        <v>0</v>
      </c>
      <c r="Q246" s="23"/>
      <c r="R246" s="2" t="n">
        <f aca="false">IF(S246=C246, 1, 0)</f>
        <v>1</v>
      </c>
      <c r="S246" s="2" t="s">
        <v>111</v>
      </c>
      <c r="T246" s="2" t="n">
        <v>120</v>
      </c>
      <c r="U246" s="2" t="n">
        <v>2972</v>
      </c>
      <c r="V246" s="2" t="s">
        <v>54</v>
      </c>
      <c r="W246" s="2" t="n">
        <v>99</v>
      </c>
      <c r="X246" s="2" t="n">
        <v>14.2373</v>
      </c>
      <c r="Y246" s="2" t="n">
        <v>1800.05</v>
      </c>
      <c r="Z246" s="2" t="n">
        <v>78.3402</v>
      </c>
      <c r="AA246" s="2" t="n">
        <v>6348</v>
      </c>
      <c r="AB246" s="2" t="n">
        <v>3</v>
      </c>
      <c r="AC246" s="2" t="n">
        <v>12008</v>
      </c>
      <c r="AD246" s="2" t="n">
        <v>20925</v>
      </c>
      <c r="AE246" s="2" t="n">
        <v>2</v>
      </c>
      <c r="AF246" s="2" t="n">
        <v>0</v>
      </c>
      <c r="AG246" s="2" t="n">
        <v>1</v>
      </c>
      <c r="AH246" s="2" t="n">
        <v>14.2373</v>
      </c>
      <c r="AI246" s="2" t="n">
        <v>99</v>
      </c>
      <c r="AJ246" s="2" t="n">
        <f aca="false">IF(V246="Optimal", 1, 0)</f>
        <v>0</v>
      </c>
      <c r="AK246" s="29" t="b">
        <f aca="false">IF(AJ246=1, W246-G246)</f>
        <v>0</v>
      </c>
      <c r="AL246" s="4" t="n">
        <f aca="false">IF(AND(AH246&lt;&gt;-1, G246&lt;&gt;"-", G246&lt;&gt;"."), ((G246-AH246)/G246)*100, -1)</f>
        <v>38.0986956521739</v>
      </c>
      <c r="AN246" s="5" t="n">
        <f aca="false">IF(AND(AO246=C246, A246=AP246), 1, 0)</f>
        <v>1</v>
      </c>
      <c r="AO246" s="5" t="s">
        <v>111</v>
      </c>
      <c r="AP246" s="5" t="n">
        <v>15</v>
      </c>
      <c r="AQ246" s="5" t="n">
        <v>3600</v>
      </c>
      <c r="AR246" s="5" t="n">
        <v>120</v>
      </c>
      <c r="AS246" s="5" t="n">
        <v>2972</v>
      </c>
      <c r="AT246" s="28" t="n">
        <v>3600</v>
      </c>
      <c r="AU246" s="28" t="s">
        <v>54</v>
      </c>
      <c r="AV246" s="28" t="n">
        <v>112</v>
      </c>
      <c r="AW246" s="28" t="n">
        <v>88</v>
      </c>
      <c r="AX246" s="28" t="n">
        <v>32</v>
      </c>
      <c r="AY246" s="28" t="n">
        <v>1800</v>
      </c>
      <c r="AZ246" s="28" t="n">
        <v>45274</v>
      </c>
      <c r="BA246" s="28" t="n">
        <v>995</v>
      </c>
      <c r="BB246" s="6" t="n">
        <f aca="false">IF(AU246="Optimal", 1, 0)</f>
        <v>0</v>
      </c>
    </row>
    <row r="247" customFormat="false" ht="12.8" hidden="false" customHeight="false" outlineLevel="0" collapsed="false">
      <c r="A247" s="1" t="n">
        <v>15</v>
      </c>
      <c r="B247" s="23" t="s">
        <v>67</v>
      </c>
      <c r="C247" s="24" t="s">
        <v>116</v>
      </c>
      <c r="D247" s="32" t="n">
        <v>120</v>
      </c>
      <c r="E247" s="32" t="n">
        <v>3387</v>
      </c>
      <c r="F247" s="32" t="n">
        <v>23</v>
      </c>
      <c r="G247" s="32" t="n">
        <v>13</v>
      </c>
      <c r="H247" s="3" t="n">
        <v>1</v>
      </c>
      <c r="I247" s="25" t="n">
        <v>0.69</v>
      </c>
      <c r="J247" s="26" t="n">
        <f aca="false">IF(I247="tl", 0, 1)</f>
        <v>1</v>
      </c>
      <c r="K247" s="25" t="s">
        <v>53</v>
      </c>
      <c r="L247" s="26" t="n">
        <f aca="false">IF(K247="tl", 0, 1)</f>
        <v>0</v>
      </c>
      <c r="M247" s="25" t="n">
        <v>3.16</v>
      </c>
      <c r="N247" s="26" t="n">
        <f aca="false">IF(M247="tl", 0, 1)</f>
        <v>1</v>
      </c>
      <c r="P247" s="23" t="n">
        <v>0</v>
      </c>
      <c r="Q247" s="23"/>
      <c r="R247" s="2" t="n">
        <f aca="false">IF(S247=C247, 1, 0)</f>
        <v>1</v>
      </c>
      <c r="S247" s="2" t="s">
        <v>116</v>
      </c>
      <c r="T247" s="2" t="n">
        <v>120</v>
      </c>
      <c r="U247" s="2" t="n">
        <v>3387</v>
      </c>
      <c r="V247" s="2" t="s">
        <v>54</v>
      </c>
      <c r="W247" s="2" t="n">
        <v>96</v>
      </c>
      <c r="X247" s="2" t="n">
        <v>11.8421</v>
      </c>
      <c r="Y247" s="2" t="n">
        <v>1800.15</v>
      </c>
      <c r="Z247" s="2" t="n">
        <v>139.325</v>
      </c>
      <c r="AA247" s="2" t="n">
        <v>7367</v>
      </c>
      <c r="AB247" s="2" t="n">
        <v>3</v>
      </c>
      <c r="AC247" s="2" t="n">
        <v>13668</v>
      </c>
      <c r="AD247" s="2" t="n">
        <v>23830</v>
      </c>
      <c r="AE247" s="2" t="n">
        <v>14</v>
      </c>
      <c r="AF247" s="2" t="n">
        <v>0</v>
      </c>
      <c r="AG247" s="2" t="n">
        <v>1</v>
      </c>
      <c r="AH247" s="2" t="n">
        <v>11.8421</v>
      </c>
      <c r="AI247" s="2" t="n">
        <v>96</v>
      </c>
      <c r="AJ247" s="2" t="n">
        <f aca="false">IF(V247="Optimal", 1, 0)</f>
        <v>0</v>
      </c>
      <c r="AK247" s="29" t="b">
        <f aca="false">IF(AJ247=1, W247-G247)</f>
        <v>0</v>
      </c>
      <c r="AL247" s="4" t="n">
        <f aca="false">IF(AND(AH247&lt;&gt;-1, G247&lt;&gt;"-", G247&lt;&gt;"."), ((G247-AH247)/G247)*100, -1)</f>
        <v>8.90692307692308</v>
      </c>
      <c r="AN247" s="5" t="n">
        <f aca="false">IF(AND(AO247=C247, A247=AP247), 1, 0)</f>
        <v>1</v>
      </c>
      <c r="AO247" s="5" t="s">
        <v>116</v>
      </c>
      <c r="AP247" s="5" t="n">
        <v>15</v>
      </c>
      <c r="AQ247" s="5" t="n">
        <v>3600</v>
      </c>
      <c r="AR247" s="5" t="n">
        <v>120</v>
      </c>
      <c r="AS247" s="5" t="n">
        <v>3387</v>
      </c>
      <c r="AT247" s="28" t="n">
        <v>3212.45</v>
      </c>
      <c r="AU247" s="28" t="s">
        <v>51</v>
      </c>
      <c r="AV247" s="28" t="n">
        <v>107</v>
      </c>
      <c r="AW247" s="28" t="n">
        <v>107</v>
      </c>
      <c r="AX247" s="28" t="n">
        <v>13</v>
      </c>
      <c r="AY247" s="28" t="n">
        <v>1274</v>
      </c>
      <c r="AZ247" s="28" t="n">
        <v>10238</v>
      </c>
      <c r="BA247" s="28" t="n">
        <v>45</v>
      </c>
      <c r="BB247" s="6" t="n">
        <f aca="false">IF(AU247="Optimal", 1, 0)</f>
        <v>1</v>
      </c>
    </row>
    <row r="248" customFormat="false" ht="12.8" hidden="false" customHeight="false" outlineLevel="0" collapsed="false">
      <c r="A248" s="1" t="n">
        <v>15</v>
      </c>
      <c r="B248" s="23" t="s">
        <v>67</v>
      </c>
      <c r="C248" s="24" t="s">
        <v>117</v>
      </c>
      <c r="D248" s="32" t="n">
        <v>125</v>
      </c>
      <c r="E248" s="32" t="n">
        <v>390</v>
      </c>
      <c r="F248" s="32" t="n">
        <v>37</v>
      </c>
      <c r="G248" s="32" t="s">
        <v>77</v>
      </c>
      <c r="H248" s="3" t="n">
        <v>0</v>
      </c>
      <c r="I248" s="25" t="s">
        <v>53</v>
      </c>
      <c r="J248" s="26" t="n">
        <f aca="false">IF(I248="tl", 0, 1)</f>
        <v>0</v>
      </c>
      <c r="K248" s="25" t="s">
        <v>53</v>
      </c>
      <c r="L248" s="26" t="n">
        <f aca="false">IF(K248="tl", 0, 1)</f>
        <v>0</v>
      </c>
      <c r="M248" s="25" t="s">
        <v>53</v>
      </c>
      <c r="N248" s="26" t="n">
        <f aca="false">IF(M248="tl", 0, 1)</f>
        <v>0</v>
      </c>
      <c r="P248" s="23" t="n">
        <v>0</v>
      </c>
      <c r="Q248" s="23"/>
      <c r="R248" s="2" t="n">
        <f aca="false">IF(S248=C248, 1, 0)</f>
        <v>1</v>
      </c>
      <c r="S248" s="2" t="s">
        <v>117</v>
      </c>
      <c r="T248" s="2" t="n">
        <v>125</v>
      </c>
      <c r="U248" s="2" t="n">
        <v>390</v>
      </c>
      <c r="V248" s="2" t="s">
        <v>54</v>
      </c>
      <c r="W248" s="2" t="n">
        <v>60</v>
      </c>
      <c r="X248" s="2" t="n">
        <v>15.2295</v>
      </c>
      <c r="Y248" s="2" t="n">
        <v>1800.06</v>
      </c>
      <c r="Z248" s="2" t="n">
        <v>1194.84</v>
      </c>
      <c r="AA248" s="2" t="n">
        <v>11087</v>
      </c>
      <c r="AB248" s="2" t="n">
        <v>23</v>
      </c>
      <c r="AC248" s="2" t="n">
        <v>1685</v>
      </c>
      <c r="AD248" s="2" t="n">
        <v>2856</v>
      </c>
      <c r="AE248" s="2" t="n">
        <v>60</v>
      </c>
      <c r="AF248" s="2" t="n">
        <v>0</v>
      </c>
      <c r="AG248" s="2" t="n">
        <v>16</v>
      </c>
      <c r="AH248" s="2" t="n">
        <v>14.2276</v>
      </c>
      <c r="AI248" s="2" t="n">
        <v>67</v>
      </c>
      <c r="AJ248" s="2" t="n">
        <f aca="false">IF(V248="Optimal", 1, 0)</f>
        <v>0</v>
      </c>
      <c r="AK248" s="29" t="b">
        <f aca="false">IF(AJ248=1, W248-G248)</f>
        <v>0</v>
      </c>
      <c r="AL248" s="4" t="n">
        <f aca="false">IF(AND(AH248&lt;&gt;-1, G248&lt;&gt;"-", G248&lt;&gt;"."), ((G248-AH248)/G248)*100, -1)</f>
        <v>-1</v>
      </c>
      <c r="AN248" s="5" t="n">
        <f aca="false">IF(AND(AO248=C248, A248=AP248), 1, 0)</f>
        <v>1</v>
      </c>
      <c r="AO248" s="5" t="s">
        <v>117</v>
      </c>
      <c r="AP248" s="5" t="n">
        <v>15</v>
      </c>
      <c r="AQ248" s="5" t="n">
        <v>3600</v>
      </c>
      <c r="AR248" s="5" t="n">
        <v>125</v>
      </c>
      <c r="AS248" s="5" t="n">
        <v>390</v>
      </c>
      <c r="AT248" s="28" t="n">
        <v>3600</v>
      </c>
      <c r="AU248" s="28" t="s">
        <v>54</v>
      </c>
      <c r="AV248" s="28" t="n">
        <v>122.035</v>
      </c>
      <c r="AW248" s="28" t="n">
        <v>91</v>
      </c>
      <c r="AX248" s="28" t="n">
        <v>34</v>
      </c>
      <c r="AY248" s="28" t="n">
        <v>1689</v>
      </c>
      <c r="AZ248" s="28" t="n">
        <v>7292</v>
      </c>
      <c r="BA248" s="28" t="n">
        <v>51</v>
      </c>
      <c r="BB248" s="6" t="n">
        <f aca="false">IF(AU248="Optimal", 1, 0)</f>
        <v>0</v>
      </c>
    </row>
    <row r="249" customFormat="false" ht="12.8" hidden="false" customHeight="false" outlineLevel="0" collapsed="false">
      <c r="A249" s="1" t="n">
        <v>15</v>
      </c>
      <c r="B249" s="23" t="s">
        <v>67</v>
      </c>
      <c r="C249" s="24" t="s">
        <v>119</v>
      </c>
      <c r="D249" s="32" t="n">
        <v>125</v>
      </c>
      <c r="E249" s="32" t="n">
        <v>1257</v>
      </c>
      <c r="F249" s="32" t="n">
        <v>15</v>
      </c>
      <c r="G249" s="32" t="s">
        <v>77</v>
      </c>
      <c r="H249" s="3" t="n">
        <v>0</v>
      </c>
      <c r="I249" s="25" t="s">
        <v>53</v>
      </c>
      <c r="J249" s="26" t="n">
        <f aca="false">IF(I249="tl", 0, 1)</f>
        <v>0</v>
      </c>
      <c r="K249" s="25" t="s">
        <v>53</v>
      </c>
      <c r="L249" s="26" t="n">
        <f aca="false">IF(K249="tl", 0, 1)</f>
        <v>0</v>
      </c>
      <c r="M249" s="25" t="s">
        <v>53</v>
      </c>
      <c r="N249" s="26" t="n">
        <f aca="false">IF(M249="tl", 0, 1)</f>
        <v>0</v>
      </c>
      <c r="P249" s="23" t="n">
        <v>32</v>
      </c>
      <c r="Q249" s="23"/>
      <c r="R249" s="2" t="n">
        <f aca="false">IF(S249=C249, 1, 0)</f>
        <v>1</v>
      </c>
      <c r="S249" s="2" t="s">
        <v>119</v>
      </c>
      <c r="T249" s="2" t="n">
        <v>125</v>
      </c>
      <c r="U249" s="2" t="n">
        <v>1257</v>
      </c>
      <c r="V249" s="2" t="s">
        <v>54</v>
      </c>
      <c r="W249" s="42" t="n">
        <v>1E+020</v>
      </c>
      <c r="X249" s="2" t="n">
        <v>15.2295</v>
      </c>
      <c r="Y249" s="2" t="n">
        <v>1800.01</v>
      </c>
      <c r="Z249" s="2" t="n">
        <v>195.76</v>
      </c>
      <c r="AA249" s="2" t="n">
        <v>10574</v>
      </c>
      <c r="AB249" s="2" t="n">
        <v>50</v>
      </c>
      <c r="AC249" s="2" t="n">
        <v>5153</v>
      </c>
      <c r="AD249" s="2" t="n">
        <v>8925</v>
      </c>
      <c r="AE249" s="2" t="n">
        <v>12</v>
      </c>
      <c r="AF249" s="2" t="n">
        <v>0</v>
      </c>
      <c r="AG249" s="2" t="n">
        <v>44</v>
      </c>
      <c r="AH249" s="2" t="n">
        <v>14.2276</v>
      </c>
      <c r="AI249" s="42" t="n">
        <v>1E+020</v>
      </c>
      <c r="AJ249" s="2" t="n">
        <f aca="false">IF(V249="Optimal", 1, 0)</f>
        <v>0</v>
      </c>
      <c r="AK249" s="29" t="b">
        <f aca="false">IF(AJ249=1, W249-G249)</f>
        <v>0</v>
      </c>
      <c r="AL249" s="4" t="n">
        <f aca="false">IF(AND(AH249&lt;&gt;-1, G249&lt;&gt;"-", G249&lt;&gt;"."), ((G249-AH249)/G249)*100, -1)</f>
        <v>-1</v>
      </c>
      <c r="AN249" s="5" t="n">
        <f aca="false">IF(AND(AO249=C249, A249=AP249), 1, 0)</f>
        <v>1</v>
      </c>
      <c r="AO249" s="5" t="s">
        <v>119</v>
      </c>
      <c r="AP249" s="5" t="n">
        <v>15</v>
      </c>
      <c r="AQ249" s="5" t="n">
        <v>3600</v>
      </c>
      <c r="AR249" s="5" t="n">
        <v>125</v>
      </c>
      <c r="AS249" s="5" t="n">
        <v>1257</v>
      </c>
      <c r="AT249" s="28" t="n">
        <v>3600</v>
      </c>
      <c r="AU249" s="28" t="s">
        <v>54</v>
      </c>
      <c r="AV249" s="28" t="n">
        <v>119.847</v>
      </c>
      <c r="AW249" s="28" t="s">
        <v>175</v>
      </c>
      <c r="AX249" s="28" t="s">
        <v>175</v>
      </c>
      <c r="AY249" s="28" t="n">
        <v>1560</v>
      </c>
      <c r="AZ249" s="28" t="n">
        <v>14683</v>
      </c>
      <c r="BA249" s="28" t="n">
        <v>58</v>
      </c>
      <c r="BB249" s="6" t="n">
        <f aca="false">IF(AU249="Optimal", 1, 0)</f>
        <v>0</v>
      </c>
    </row>
    <row r="250" customFormat="false" ht="12.8" hidden="false" customHeight="false" outlineLevel="0" collapsed="false">
      <c r="A250" s="1" t="n">
        <v>15</v>
      </c>
      <c r="B250" s="23" t="s">
        <v>67</v>
      </c>
      <c r="C250" s="24" t="s">
        <v>120</v>
      </c>
      <c r="D250" s="32" t="n">
        <v>125</v>
      </c>
      <c r="E250" s="32" t="n">
        <v>1022</v>
      </c>
      <c r="F250" s="32" t="n">
        <v>20</v>
      </c>
      <c r="G250" s="32" t="s">
        <v>77</v>
      </c>
      <c r="H250" s="3" t="n">
        <v>0</v>
      </c>
      <c r="I250" s="25" t="s">
        <v>53</v>
      </c>
      <c r="J250" s="26" t="n">
        <f aca="false">IF(I250="tl", 0, 1)</f>
        <v>0</v>
      </c>
      <c r="K250" s="25" t="s">
        <v>53</v>
      </c>
      <c r="L250" s="26" t="n">
        <f aca="false">IF(K250="tl", 0, 1)</f>
        <v>0</v>
      </c>
      <c r="M250" s="25" t="s">
        <v>53</v>
      </c>
      <c r="N250" s="26" t="n">
        <f aca="false">IF(M250="tl", 0, 1)</f>
        <v>0</v>
      </c>
      <c r="P250" s="23" t="n">
        <v>0</v>
      </c>
      <c r="Q250" s="23"/>
      <c r="R250" s="2" t="n">
        <f aca="false">IF(S250=C250, 1, 0)</f>
        <v>1</v>
      </c>
      <c r="S250" s="2" t="s">
        <v>120</v>
      </c>
      <c r="T250" s="2" t="n">
        <v>125</v>
      </c>
      <c r="U250" s="2" t="n">
        <v>1022</v>
      </c>
      <c r="V250" s="2" t="s">
        <v>54</v>
      </c>
      <c r="W250" s="2" t="n">
        <v>104</v>
      </c>
      <c r="X250" s="2" t="n">
        <v>14.2276</v>
      </c>
      <c r="Y250" s="2" t="n">
        <v>1800</v>
      </c>
      <c r="Z250" s="2" t="n">
        <v>442.996</v>
      </c>
      <c r="AA250" s="2" t="n">
        <v>9852</v>
      </c>
      <c r="AB250" s="2" t="n">
        <v>3</v>
      </c>
      <c r="AC250" s="2" t="n">
        <v>4213</v>
      </c>
      <c r="AD250" s="2" t="n">
        <v>7280</v>
      </c>
      <c r="AE250" s="2" t="n">
        <v>14</v>
      </c>
      <c r="AF250" s="2" t="n">
        <v>0</v>
      </c>
      <c r="AG250" s="2" t="n">
        <v>1</v>
      </c>
      <c r="AH250" s="2" t="n">
        <v>14.2276</v>
      </c>
      <c r="AI250" s="2" t="n">
        <v>104</v>
      </c>
      <c r="AJ250" s="2" t="n">
        <f aca="false">IF(V250="Optimal", 1, 0)</f>
        <v>0</v>
      </c>
      <c r="AK250" s="29" t="b">
        <f aca="false">IF(AJ250=1, W250-G250)</f>
        <v>0</v>
      </c>
      <c r="AL250" s="4" t="n">
        <f aca="false">IF(AND(AH250&lt;&gt;-1, G250&lt;&gt;"-", G250&lt;&gt;"."), ((G250-AH250)/G250)*100, -1)</f>
        <v>-1</v>
      </c>
      <c r="AN250" s="5" t="n">
        <f aca="false">IF(AND(AO250=C250, A250=AP250), 1, 0)</f>
        <v>1</v>
      </c>
      <c r="AO250" s="5" t="s">
        <v>120</v>
      </c>
      <c r="AP250" s="5" t="n">
        <v>15</v>
      </c>
      <c r="AQ250" s="5" t="n">
        <v>3600</v>
      </c>
      <c r="AR250" s="5" t="n">
        <v>125</v>
      </c>
      <c r="AS250" s="5" t="n">
        <v>1022</v>
      </c>
      <c r="AT250" s="28" t="n">
        <v>3600</v>
      </c>
      <c r="AU250" s="28" t="s">
        <v>54</v>
      </c>
      <c r="AV250" s="28" t="n">
        <v>119.108</v>
      </c>
      <c r="AW250" s="28" t="n">
        <v>32</v>
      </c>
      <c r="AX250" s="28" t="n">
        <v>93</v>
      </c>
      <c r="AY250" s="28" t="n">
        <v>1583</v>
      </c>
      <c r="AZ250" s="28" t="n">
        <v>14961</v>
      </c>
      <c r="BA250" s="28" t="n">
        <v>415</v>
      </c>
      <c r="BB250" s="6" t="n">
        <f aca="false">IF(AU250="Optimal", 1, 0)</f>
        <v>0</v>
      </c>
    </row>
    <row r="251" customFormat="false" ht="12.8" hidden="false" customHeight="false" outlineLevel="0" collapsed="false">
      <c r="A251" s="1" t="n">
        <v>15</v>
      </c>
      <c r="B251" s="23" t="s">
        <v>67</v>
      </c>
      <c r="C251" s="24" t="s">
        <v>121</v>
      </c>
      <c r="D251" s="32" t="n">
        <v>125</v>
      </c>
      <c r="E251" s="32" t="n">
        <v>943</v>
      </c>
      <c r="F251" s="32" t="n">
        <v>16</v>
      </c>
      <c r="G251" s="32" t="s">
        <v>77</v>
      </c>
      <c r="H251" s="3" t="n">
        <v>0</v>
      </c>
      <c r="I251" s="25" t="s">
        <v>53</v>
      </c>
      <c r="J251" s="26" t="n">
        <f aca="false">IF(I251="tl", 0, 1)</f>
        <v>0</v>
      </c>
      <c r="K251" s="25" t="s">
        <v>53</v>
      </c>
      <c r="L251" s="26" t="n">
        <f aca="false">IF(K251="tl", 0, 1)</f>
        <v>0</v>
      </c>
      <c r="M251" s="25" t="s">
        <v>53</v>
      </c>
      <c r="N251" s="26" t="n">
        <f aca="false">IF(M251="tl", 0, 1)</f>
        <v>0</v>
      </c>
      <c r="P251" s="23" t="n">
        <v>5</v>
      </c>
      <c r="Q251" s="23"/>
      <c r="R251" s="2" t="n">
        <f aca="false">IF(S251=C251, 1, 0)</f>
        <v>1</v>
      </c>
      <c r="S251" s="2" t="s">
        <v>121</v>
      </c>
      <c r="T251" s="2" t="n">
        <v>125</v>
      </c>
      <c r="U251" s="2" t="n">
        <v>943</v>
      </c>
      <c r="V251" s="2" t="s">
        <v>54</v>
      </c>
      <c r="W251" s="2" t="n">
        <v>104</v>
      </c>
      <c r="X251" s="2" t="n">
        <v>14.2276</v>
      </c>
      <c r="Y251" s="2" t="n">
        <v>1800.01</v>
      </c>
      <c r="Z251" s="2" t="n">
        <v>123.418</v>
      </c>
      <c r="AA251" s="2" t="n">
        <v>9513</v>
      </c>
      <c r="AB251" s="2" t="n">
        <v>3</v>
      </c>
      <c r="AC251" s="2" t="n">
        <v>3897</v>
      </c>
      <c r="AD251" s="2" t="n">
        <v>6727</v>
      </c>
      <c r="AE251" s="2" t="n">
        <v>45</v>
      </c>
      <c r="AF251" s="2" t="n">
        <v>0</v>
      </c>
      <c r="AG251" s="2" t="n">
        <v>1</v>
      </c>
      <c r="AH251" s="2" t="n">
        <v>14.2276</v>
      </c>
      <c r="AI251" s="2" t="n">
        <v>104</v>
      </c>
      <c r="AJ251" s="2" t="n">
        <f aca="false">IF(V251="Optimal", 1, 0)</f>
        <v>0</v>
      </c>
      <c r="AK251" s="29" t="b">
        <f aca="false">IF(AJ251=1, W251-G251)</f>
        <v>0</v>
      </c>
      <c r="AL251" s="4" t="n">
        <f aca="false">IF(AND(AH251&lt;&gt;-1, G251&lt;&gt;"-", G251&lt;&gt;"."), ((G251-AH251)/G251)*100, -1)</f>
        <v>-1</v>
      </c>
      <c r="AN251" s="5" t="n">
        <f aca="false">IF(AND(AO251=C251, A251=AP251), 1, 0)</f>
        <v>1</v>
      </c>
      <c r="AO251" s="5" t="s">
        <v>121</v>
      </c>
      <c r="AP251" s="5" t="n">
        <v>15</v>
      </c>
      <c r="AQ251" s="5" t="n">
        <v>3600</v>
      </c>
      <c r="AR251" s="5" t="n">
        <v>125</v>
      </c>
      <c r="AS251" s="5" t="n">
        <v>943</v>
      </c>
      <c r="AT251" s="28" t="n">
        <v>3600</v>
      </c>
      <c r="AU251" s="28" t="s">
        <v>54</v>
      </c>
      <c r="AV251" s="28" t="n">
        <v>121.451</v>
      </c>
      <c r="AW251" s="28" t="n">
        <v>40</v>
      </c>
      <c r="AX251" s="28" t="n">
        <v>85</v>
      </c>
      <c r="AY251" s="28" t="n">
        <v>1595</v>
      </c>
      <c r="AZ251" s="28" t="n">
        <v>15597</v>
      </c>
      <c r="BA251" s="28" t="n">
        <v>1452</v>
      </c>
      <c r="BB251" s="6" t="n">
        <f aca="false">IF(AU251="Optimal", 1, 0)</f>
        <v>0</v>
      </c>
    </row>
    <row r="252" customFormat="false" ht="12.8" hidden="false" customHeight="false" outlineLevel="0" collapsed="false">
      <c r="A252" s="1" t="n">
        <v>15</v>
      </c>
      <c r="B252" s="23" t="s">
        <v>67</v>
      </c>
      <c r="C252" s="24" t="s">
        <v>124</v>
      </c>
      <c r="D252" s="32" t="n">
        <v>125</v>
      </c>
      <c r="E252" s="32" t="n">
        <v>1177</v>
      </c>
      <c r="F252" s="32" t="n">
        <v>19</v>
      </c>
      <c r="G252" s="32" t="s">
        <v>77</v>
      </c>
      <c r="H252" s="3" t="n">
        <v>0</v>
      </c>
      <c r="I252" s="25" t="s">
        <v>53</v>
      </c>
      <c r="J252" s="26" t="n">
        <f aca="false">IF(I252="tl", 0, 1)</f>
        <v>0</v>
      </c>
      <c r="K252" s="25" t="s">
        <v>53</v>
      </c>
      <c r="L252" s="26" t="n">
        <f aca="false">IF(K252="tl", 0, 1)</f>
        <v>0</v>
      </c>
      <c r="M252" s="25" t="s">
        <v>53</v>
      </c>
      <c r="N252" s="26" t="n">
        <f aca="false">IF(M252="tl", 0, 1)</f>
        <v>0</v>
      </c>
      <c r="P252" s="23" t="n">
        <v>0</v>
      </c>
      <c r="Q252" s="23"/>
      <c r="R252" s="2" t="n">
        <f aca="false">IF(S252=C252, 1, 0)</f>
        <v>1</v>
      </c>
      <c r="S252" s="2" t="s">
        <v>124</v>
      </c>
      <c r="T252" s="2" t="n">
        <v>125</v>
      </c>
      <c r="U252" s="2" t="n">
        <v>1177</v>
      </c>
      <c r="V252" s="2" t="s">
        <v>54</v>
      </c>
      <c r="W252" s="2" t="n">
        <v>108</v>
      </c>
      <c r="X252" s="2" t="n">
        <v>15.2295</v>
      </c>
      <c r="Y252" s="2" t="n">
        <v>1800</v>
      </c>
      <c r="Z252" s="2" t="n">
        <v>143.48</v>
      </c>
      <c r="AA252" s="2" t="n">
        <v>12074</v>
      </c>
      <c r="AB252" s="2" t="n">
        <v>39</v>
      </c>
      <c r="AC252" s="2" t="n">
        <v>4833</v>
      </c>
      <c r="AD252" s="2" t="n">
        <v>8365</v>
      </c>
      <c r="AE252" s="2" t="n">
        <v>17</v>
      </c>
      <c r="AF252" s="2" t="n">
        <v>0</v>
      </c>
      <c r="AG252" s="2" t="n">
        <v>36</v>
      </c>
      <c r="AH252" s="2" t="n">
        <v>14.2276</v>
      </c>
      <c r="AI252" s="2" t="n">
        <v>108</v>
      </c>
      <c r="AJ252" s="2" t="n">
        <f aca="false">IF(V252="Optimal", 1, 0)</f>
        <v>0</v>
      </c>
      <c r="AK252" s="29" t="b">
        <f aca="false">IF(AJ252=1, W252-G252)</f>
        <v>0</v>
      </c>
      <c r="AL252" s="4" t="n">
        <f aca="false">IF(AND(AH252&lt;&gt;-1, G252&lt;&gt;"-", G252&lt;&gt;"."), ((G252-AH252)/G252)*100, -1)</f>
        <v>-1</v>
      </c>
      <c r="AN252" s="5" t="n">
        <f aca="false">IF(AND(AO252=C252, A252=AP252), 1, 0)</f>
        <v>1</v>
      </c>
      <c r="AO252" s="5" t="s">
        <v>124</v>
      </c>
      <c r="AP252" s="5" t="n">
        <v>15</v>
      </c>
      <c r="AQ252" s="5" t="n">
        <v>3600</v>
      </c>
      <c r="AR252" s="5" t="n">
        <v>125</v>
      </c>
      <c r="AS252" s="5" t="n">
        <v>1177</v>
      </c>
      <c r="AT252" s="28" t="n">
        <v>3600</v>
      </c>
      <c r="AU252" s="28" t="s">
        <v>54</v>
      </c>
      <c r="AV252" s="28" t="n">
        <v>118.349</v>
      </c>
      <c r="AW252" s="28" t="n">
        <v>24</v>
      </c>
      <c r="AX252" s="28" t="n">
        <v>101</v>
      </c>
      <c r="AY252" s="28" t="n">
        <v>1415</v>
      </c>
      <c r="AZ252" s="28" t="n">
        <v>13699</v>
      </c>
      <c r="BA252" s="28" t="n">
        <v>321</v>
      </c>
      <c r="BB252" s="6" t="n">
        <f aca="false">IF(AU252="Optimal", 1, 0)</f>
        <v>0</v>
      </c>
    </row>
    <row r="253" customFormat="false" ht="12.8" hidden="false" customHeight="false" outlineLevel="0" collapsed="false">
      <c r="A253" s="1" t="n">
        <v>15</v>
      </c>
      <c r="B253" s="23" t="s">
        <v>67</v>
      </c>
      <c r="C253" s="24" t="s">
        <v>125</v>
      </c>
      <c r="D253" s="32" t="n">
        <v>125</v>
      </c>
      <c r="E253" s="32" t="n">
        <v>1218</v>
      </c>
      <c r="F253" s="32" t="n">
        <v>17</v>
      </c>
      <c r="G253" s="32" t="s">
        <v>77</v>
      </c>
      <c r="H253" s="3" t="n">
        <v>0</v>
      </c>
      <c r="I253" s="25" t="s">
        <v>53</v>
      </c>
      <c r="J253" s="26" t="n">
        <f aca="false">IF(I253="tl", 0, 1)</f>
        <v>0</v>
      </c>
      <c r="K253" s="25" t="s">
        <v>53</v>
      </c>
      <c r="L253" s="26" t="n">
        <f aca="false">IF(K253="tl", 0, 1)</f>
        <v>0</v>
      </c>
      <c r="M253" s="25" t="s">
        <v>53</v>
      </c>
      <c r="N253" s="26" t="n">
        <f aca="false">IF(M253="tl", 0, 1)</f>
        <v>0</v>
      </c>
      <c r="P253" s="23" t="n">
        <v>0</v>
      </c>
      <c r="Q253" s="23"/>
      <c r="R253" s="2" t="n">
        <f aca="false">IF(S253=C253, 1, 0)</f>
        <v>1</v>
      </c>
      <c r="S253" s="2" t="s">
        <v>125</v>
      </c>
      <c r="T253" s="2" t="n">
        <v>125</v>
      </c>
      <c r="U253" s="2" t="n">
        <v>1218</v>
      </c>
      <c r="V253" s="2" t="s">
        <v>54</v>
      </c>
      <c r="W253" s="42" t="n">
        <v>1E+020</v>
      </c>
      <c r="X253" s="2" t="n">
        <v>15.2295</v>
      </c>
      <c r="Y253" s="2" t="n">
        <v>1800</v>
      </c>
      <c r="Z253" s="2" t="n">
        <v>757.069</v>
      </c>
      <c r="AA253" s="2" t="n">
        <v>8334</v>
      </c>
      <c r="AB253" s="2" t="n">
        <v>16</v>
      </c>
      <c r="AC253" s="2" t="n">
        <v>4997</v>
      </c>
      <c r="AD253" s="2" t="n">
        <v>8652</v>
      </c>
      <c r="AE253" s="2" t="n">
        <v>7</v>
      </c>
      <c r="AF253" s="2" t="n">
        <v>0</v>
      </c>
      <c r="AG253" s="2" t="n">
        <v>10</v>
      </c>
      <c r="AH253" s="2" t="n">
        <v>14.2276</v>
      </c>
      <c r="AI253" s="42" t="n">
        <v>1E+020</v>
      </c>
      <c r="AJ253" s="2" t="n">
        <f aca="false">IF(V253="Optimal", 1, 0)</f>
        <v>0</v>
      </c>
      <c r="AK253" s="29" t="b">
        <f aca="false">IF(AJ253=1, W253-G253)</f>
        <v>0</v>
      </c>
      <c r="AL253" s="4" t="n">
        <f aca="false">IF(AND(AH253&lt;&gt;-1, G253&lt;&gt;"-", G253&lt;&gt;"."), ((G253-AH253)/G253)*100, -1)</f>
        <v>-1</v>
      </c>
      <c r="AN253" s="5" t="n">
        <f aca="false">IF(AND(AO253=C253, A253=AP253), 1, 0)</f>
        <v>1</v>
      </c>
      <c r="AO253" s="5" t="s">
        <v>125</v>
      </c>
      <c r="AP253" s="5" t="n">
        <v>15</v>
      </c>
      <c r="AQ253" s="5" t="n">
        <v>3600</v>
      </c>
      <c r="AR253" s="5" t="n">
        <v>125</v>
      </c>
      <c r="AS253" s="5" t="n">
        <v>1218</v>
      </c>
      <c r="AT253" s="28" t="n">
        <v>3600</v>
      </c>
      <c r="AU253" s="28" t="s">
        <v>54</v>
      </c>
      <c r="AV253" s="28" t="n">
        <v>120.096</v>
      </c>
      <c r="AW253" s="28" t="n">
        <v>24</v>
      </c>
      <c r="AX253" s="28" t="n">
        <v>101</v>
      </c>
      <c r="AY253" s="28" t="n">
        <v>1528</v>
      </c>
      <c r="AZ253" s="28" t="n">
        <v>16468</v>
      </c>
      <c r="BA253" s="28" t="n">
        <v>251</v>
      </c>
      <c r="BB253" s="6" t="n">
        <f aca="false">IF(AU253="Optimal", 1, 0)</f>
        <v>0</v>
      </c>
    </row>
    <row r="254" customFormat="false" ht="12.8" hidden="false" customHeight="false" outlineLevel="0" collapsed="false">
      <c r="A254" s="1" t="n">
        <v>15</v>
      </c>
      <c r="B254" s="23" t="s">
        <v>67</v>
      </c>
      <c r="C254" s="24" t="s">
        <v>126</v>
      </c>
      <c r="D254" s="32" t="n">
        <v>125</v>
      </c>
      <c r="E254" s="32" t="n">
        <v>444</v>
      </c>
      <c r="F254" s="32" t="n">
        <v>39</v>
      </c>
      <c r="G254" s="32" t="n">
        <v>17</v>
      </c>
      <c r="H254" s="3" t="n">
        <v>1</v>
      </c>
      <c r="I254" s="25" t="s">
        <v>53</v>
      </c>
      <c r="J254" s="26" t="n">
        <f aca="false">IF(I254="tl", 0, 1)</f>
        <v>0</v>
      </c>
      <c r="K254" s="25" t="n">
        <v>34.33</v>
      </c>
      <c r="L254" s="26" t="n">
        <f aca="false">IF(K254="tl", 0, 1)</f>
        <v>1</v>
      </c>
      <c r="M254" s="25" t="n">
        <v>431.59</v>
      </c>
      <c r="N254" s="26" t="n">
        <f aca="false">IF(M254="tl", 0, 1)</f>
        <v>1</v>
      </c>
      <c r="P254" s="23" t="n">
        <v>0</v>
      </c>
      <c r="Q254" s="23"/>
      <c r="R254" s="2" t="n">
        <f aca="false">IF(S254=C254, 1, 0)</f>
        <v>1</v>
      </c>
      <c r="S254" s="2" t="s">
        <v>126</v>
      </c>
      <c r="T254" s="2" t="n">
        <v>125</v>
      </c>
      <c r="U254" s="2" t="n">
        <v>444</v>
      </c>
      <c r="V254" s="2" t="s">
        <v>51</v>
      </c>
      <c r="W254" s="2" t="n">
        <v>17</v>
      </c>
      <c r="X254" s="2" t="n">
        <v>17</v>
      </c>
      <c r="Y254" s="2" t="n">
        <v>105.092</v>
      </c>
      <c r="Z254" s="2" t="n">
        <v>64.3931</v>
      </c>
      <c r="AA254" s="2" t="n">
        <v>2057</v>
      </c>
      <c r="AB254" s="2" t="n">
        <v>84</v>
      </c>
      <c r="AC254" s="2" t="n">
        <v>1901</v>
      </c>
      <c r="AD254" s="2" t="n">
        <v>3234</v>
      </c>
      <c r="AE254" s="2" t="n">
        <v>61</v>
      </c>
      <c r="AF254" s="2" t="n">
        <v>0</v>
      </c>
      <c r="AG254" s="2" t="n">
        <v>12</v>
      </c>
      <c r="AH254" s="2" t="n">
        <v>14</v>
      </c>
      <c r="AI254" s="2" t="n">
        <v>48</v>
      </c>
      <c r="AJ254" s="2" t="n">
        <f aca="false">IF(V254="Optimal", 1, 0)</f>
        <v>1</v>
      </c>
      <c r="AK254" s="3" t="n">
        <f aca="false">IF(AJ254=1, W254-G254)</f>
        <v>0</v>
      </c>
      <c r="AL254" s="4" t="n">
        <f aca="false">IF(AND(AH254&lt;&gt;-1, G254&lt;&gt;"-", G254&lt;&gt;"."), ((G254-AH254)/G254)*100, -1)</f>
        <v>17.6470588235294</v>
      </c>
      <c r="AN254" s="5" t="n">
        <f aca="false">IF(AND(AO254=C254, A254=AP254), 1, 0)</f>
        <v>1</v>
      </c>
      <c r="AO254" s="5" t="s">
        <v>126</v>
      </c>
      <c r="AP254" s="5" t="n">
        <v>15</v>
      </c>
      <c r="AQ254" s="5" t="n">
        <v>3600</v>
      </c>
      <c r="AR254" s="5" t="n">
        <v>125</v>
      </c>
      <c r="AS254" s="5" t="n">
        <v>444</v>
      </c>
      <c r="AT254" s="28" t="n">
        <v>3600</v>
      </c>
      <c r="AU254" s="28" t="s">
        <v>54</v>
      </c>
      <c r="AV254" s="28" t="n">
        <v>122.724</v>
      </c>
      <c r="AW254" s="28" t="n">
        <v>101</v>
      </c>
      <c r="AX254" s="28" t="n">
        <v>24</v>
      </c>
      <c r="AY254" s="28" t="n">
        <v>1748</v>
      </c>
      <c r="AZ254" s="28" t="n">
        <v>6169</v>
      </c>
      <c r="BA254" s="28" t="n">
        <v>3644</v>
      </c>
      <c r="BB254" s="6" t="n">
        <f aca="false">IF(AU254="Optimal", 1, 0)</f>
        <v>0</v>
      </c>
    </row>
    <row r="255" customFormat="false" ht="12.8" hidden="false" customHeight="false" outlineLevel="0" collapsed="false">
      <c r="A255" s="1" t="n">
        <v>15</v>
      </c>
      <c r="B255" s="23" t="s">
        <v>67</v>
      </c>
      <c r="C255" s="24" t="s">
        <v>127</v>
      </c>
      <c r="D255" s="32" t="n">
        <v>125</v>
      </c>
      <c r="E255" s="32" t="n">
        <v>386</v>
      </c>
      <c r="F255" s="32" t="n">
        <v>45</v>
      </c>
      <c r="G255" s="32" t="n">
        <v>20</v>
      </c>
      <c r="H255" s="3" t="n">
        <v>1</v>
      </c>
      <c r="I255" s="25" t="s">
        <v>53</v>
      </c>
      <c r="J255" s="26" t="n">
        <f aca="false">IF(I255="tl", 0, 1)</f>
        <v>0</v>
      </c>
      <c r="K255" s="25" t="n">
        <v>47</v>
      </c>
      <c r="L255" s="26" t="n">
        <f aca="false">IF(K255="tl", 0, 1)</f>
        <v>1</v>
      </c>
      <c r="M255" s="25" t="s">
        <v>53</v>
      </c>
      <c r="N255" s="26" t="n">
        <f aca="false">IF(M255="tl", 0, 1)</f>
        <v>0</v>
      </c>
      <c r="P255" s="23" t="n">
        <v>0</v>
      </c>
      <c r="Q255" s="23"/>
      <c r="R255" s="2" t="n">
        <f aca="false">IF(S255=C255, 1, 0)</f>
        <v>1</v>
      </c>
      <c r="S255" s="2" t="s">
        <v>127</v>
      </c>
      <c r="T255" s="2" t="n">
        <v>125</v>
      </c>
      <c r="U255" s="2" t="n">
        <v>386</v>
      </c>
      <c r="V255" s="2" t="s">
        <v>54</v>
      </c>
      <c r="W255" s="2" t="n">
        <v>20</v>
      </c>
      <c r="X255" s="2" t="n">
        <v>16.4812</v>
      </c>
      <c r="Y255" s="2" t="n">
        <v>1800.15</v>
      </c>
      <c r="Z255" s="2" t="n">
        <v>1500.2</v>
      </c>
      <c r="AA255" s="2" t="n">
        <v>11453</v>
      </c>
      <c r="AB255" s="2" t="n">
        <v>345</v>
      </c>
      <c r="AC255" s="2" t="n">
        <v>1669</v>
      </c>
      <c r="AD255" s="2" t="n">
        <v>2828</v>
      </c>
      <c r="AE255" s="2" t="n">
        <v>89</v>
      </c>
      <c r="AF255" s="2" t="n">
        <v>0</v>
      </c>
      <c r="AG255" s="2" t="n">
        <v>16</v>
      </c>
      <c r="AH255" s="2" t="n">
        <v>13.8739</v>
      </c>
      <c r="AI255" s="2" t="n">
        <v>46</v>
      </c>
      <c r="AJ255" s="2" t="n">
        <f aca="false">IF(V255="Optimal", 1, 0)</f>
        <v>0</v>
      </c>
      <c r="AK255" s="29" t="b">
        <f aca="false">IF(AJ255=1, W255-G255)</f>
        <v>0</v>
      </c>
      <c r="AL255" s="4" t="n">
        <f aca="false">IF(AND(AH255&lt;&gt;-1, G255&lt;&gt;"-", G255&lt;&gt;"."), ((G255-AH255)/G255)*100, -1)</f>
        <v>30.6305</v>
      </c>
      <c r="AN255" s="5" t="n">
        <f aca="false">IF(AND(AO255=C255, A255=AP255), 1, 0)</f>
        <v>1</v>
      </c>
      <c r="AO255" s="5" t="s">
        <v>127</v>
      </c>
      <c r="AP255" s="5" t="n">
        <v>15</v>
      </c>
      <c r="AQ255" s="5" t="n">
        <v>3600</v>
      </c>
      <c r="AR255" s="5" t="n">
        <v>125</v>
      </c>
      <c r="AS255" s="5" t="n">
        <v>386</v>
      </c>
      <c r="AT255" s="28" t="n">
        <v>3600</v>
      </c>
      <c r="AU255" s="28" t="s">
        <v>54</v>
      </c>
      <c r="AV255" s="28" t="n">
        <v>121.156</v>
      </c>
      <c r="AW255" s="28" t="n">
        <v>102</v>
      </c>
      <c r="AX255" s="28" t="n">
        <v>23</v>
      </c>
      <c r="AY255" s="28" t="n">
        <v>1685</v>
      </c>
      <c r="AZ255" s="28" t="n">
        <v>6002</v>
      </c>
      <c r="BA255" s="28" t="n">
        <v>1729</v>
      </c>
      <c r="BB255" s="6" t="n">
        <f aca="false">IF(AU255="Optimal", 1, 0)</f>
        <v>0</v>
      </c>
    </row>
    <row r="256" customFormat="false" ht="12.8" hidden="false" customHeight="false" outlineLevel="0" collapsed="false">
      <c r="A256" s="1" t="n">
        <v>15</v>
      </c>
      <c r="B256" s="23" t="s">
        <v>67</v>
      </c>
      <c r="C256" s="24" t="s">
        <v>128</v>
      </c>
      <c r="D256" s="32" t="n">
        <v>80</v>
      </c>
      <c r="E256" s="32" t="n">
        <v>1201</v>
      </c>
      <c r="F256" s="32" t="n">
        <v>31</v>
      </c>
      <c r="G256" s="32" t="n">
        <v>20</v>
      </c>
      <c r="H256" s="3" t="n">
        <v>1</v>
      </c>
      <c r="I256" s="25" t="n">
        <v>4.81</v>
      </c>
      <c r="J256" s="26" t="n">
        <f aca="false">IF(I256="tl", 0, 1)</f>
        <v>1</v>
      </c>
      <c r="K256" s="25" t="s">
        <v>53</v>
      </c>
      <c r="L256" s="26" t="n">
        <f aca="false">IF(K256="tl", 0, 1)</f>
        <v>0</v>
      </c>
      <c r="M256" s="25" t="n">
        <v>1.5</v>
      </c>
      <c r="N256" s="26" t="n">
        <f aca="false">IF(M256="tl", 0, 1)</f>
        <v>1</v>
      </c>
      <c r="P256" s="23" t="n">
        <v>0</v>
      </c>
      <c r="Q256" s="23"/>
      <c r="R256" s="2" t="n">
        <f aca="false">IF(S256=C256, 1, 0)</f>
        <v>1</v>
      </c>
      <c r="S256" s="2" t="s">
        <v>128</v>
      </c>
      <c r="T256" s="2" t="n">
        <v>80</v>
      </c>
      <c r="U256" s="2" t="n">
        <v>1201</v>
      </c>
      <c r="V256" s="2" t="s">
        <v>54</v>
      </c>
      <c r="W256" s="2" t="n">
        <v>63</v>
      </c>
      <c r="X256" s="2" t="n">
        <v>15.3636</v>
      </c>
      <c r="Y256" s="2" t="n">
        <v>1800.04</v>
      </c>
      <c r="Z256" s="2" t="n">
        <v>470.633</v>
      </c>
      <c r="AA256" s="2" t="n">
        <v>10574</v>
      </c>
      <c r="AB256" s="2" t="n">
        <v>16</v>
      </c>
      <c r="AC256" s="2" t="n">
        <v>4884</v>
      </c>
      <c r="AD256" s="2" t="n">
        <v>8488</v>
      </c>
      <c r="AE256" s="2" t="n">
        <v>15</v>
      </c>
      <c r="AF256" s="2" t="n">
        <v>0</v>
      </c>
      <c r="AG256" s="2" t="n">
        <v>13</v>
      </c>
      <c r="AH256" s="2" t="n">
        <v>14.359</v>
      </c>
      <c r="AI256" s="2" t="n">
        <v>63</v>
      </c>
      <c r="AJ256" s="2" t="n">
        <f aca="false">IF(V256="Optimal", 1, 0)</f>
        <v>0</v>
      </c>
      <c r="AK256" s="29" t="b">
        <f aca="false">IF(AJ256=1, W256-G256)</f>
        <v>0</v>
      </c>
      <c r="AL256" s="4" t="n">
        <f aca="false">IF(AND(AH256&lt;&gt;-1, G256&lt;&gt;"-", G256&lt;&gt;"."), ((G256-AH256)/G256)*100, -1)</f>
        <v>28.205</v>
      </c>
      <c r="AN256" s="5" t="n">
        <f aca="false">IF(AND(AO256=C256, A256=AP256), 1, 0)</f>
        <v>1</v>
      </c>
      <c r="AO256" s="5" t="s">
        <v>128</v>
      </c>
      <c r="AP256" s="5" t="n">
        <v>15</v>
      </c>
      <c r="AQ256" s="5" t="n">
        <v>3600</v>
      </c>
      <c r="AR256" s="5" t="n">
        <v>80</v>
      </c>
      <c r="AS256" s="5" t="n">
        <v>1201</v>
      </c>
      <c r="AT256" s="28" t="n">
        <v>3600</v>
      </c>
      <c r="AU256" s="28" t="s">
        <v>54</v>
      </c>
      <c r="AV256" s="28" t="n">
        <v>66.1514</v>
      </c>
      <c r="AW256" s="28" t="n">
        <v>60</v>
      </c>
      <c r="AX256" s="28" t="n">
        <v>20</v>
      </c>
      <c r="AY256" s="28" t="n">
        <v>1200</v>
      </c>
      <c r="AZ256" s="28" t="n">
        <v>18309</v>
      </c>
      <c r="BA256" s="28" t="n">
        <v>1831</v>
      </c>
      <c r="BB256" s="6" t="n">
        <f aca="false">IF(AU256="Optimal", 1, 0)</f>
        <v>0</v>
      </c>
    </row>
    <row r="257" customFormat="false" ht="12.8" hidden="false" customHeight="false" outlineLevel="0" collapsed="false">
      <c r="A257" s="1" t="n">
        <v>15</v>
      </c>
      <c r="B257" s="23" t="s">
        <v>67</v>
      </c>
      <c r="C257" s="24" t="s">
        <v>131</v>
      </c>
      <c r="D257" s="32" t="n">
        <v>80</v>
      </c>
      <c r="E257" s="32" t="n">
        <v>1786</v>
      </c>
      <c r="F257" s="32" t="n">
        <v>15</v>
      </c>
      <c r="G257" s="32" t="n">
        <v>49</v>
      </c>
      <c r="H257" s="3" t="n">
        <v>1</v>
      </c>
      <c r="I257" s="25" t="n">
        <v>0.26</v>
      </c>
      <c r="J257" s="26" t="n">
        <f aca="false">IF(I257="tl", 0, 1)</f>
        <v>1</v>
      </c>
      <c r="K257" s="25" t="n">
        <v>0.15</v>
      </c>
      <c r="L257" s="26" t="n">
        <f aca="false">IF(K257="tl", 0, 1)</f>
        <v>1</v>
      </c>
      <c r="M257" s="25" t="n">
        <v>0.01</v>
      </c>
      <c r="N257" s="26" t="n">
        <f aca="false">IF(M257="tl", 0, 1)</f>
        <v>1</v>
      </c>
      <c r="P257" s="23" t="n">
        <v>47</v>
      </c>
      <c r="Q257" s="23"/>
      <c r="R257" s="2" t="n">
        <f aca="false">IF(S257=C257, 1, 0)</f>
        <v>1</v>
      </c>
      <c r="S257" s="2" t="s">
        <v>131</v>
      </c>
      <c r="T257" s="2" t="n">
        <v>80</v>
      </c>
      <c r="U257" s="2" t="n">
        <v>1786</v>
      </c>
      <c r="V257" s="2" t="s">
        <v>51</v>
      </c>
      <c r="W257" s="2" t="n">
        <v>49</v>
      </c>
      <c r="X257" s="2" t="n">
        <v>49</v>
      </c>
      <c r="Y257" s="2" t="n">
        <v>484.783</v>
      </c>
      <c r="Z257" s="2" t="n">
        <v>260.887</v>
      </c>
      <c r="AA257" s="2" t="n">
        <v>4452</v>
      </c>
      <c r="AB257" s="2" t="n">
        <v>100</v>
      </c>
      <c r="AC257" s="2" t="n">
        <v>7224</v>
      </c>
      <c r="AD257" s="2" t="n">
        <v>12583</v>
      </c>
      <c r="AE257" s="2" t="n">
        <v>4</v>
      </c>
      <c r="AF257" s="2" t="n">
        <v>0</v>
      </c>
      <c r="AG257" s="2" t="n">
        <v>51</v>
      </c>
      <c r="AH257" s="2" t="n">
        <v>14.359</v>
      </c>
      <c r="AI257" s="2" t="n">
        <v>63</v>
      </c>
      <c r="AJ257" s="2" t="n">
        <f aca="false">IF(V257="Optimal", 1, 0)</f>
        <v>1</v>
      </c>
      <c r="AK257" s="3" t="n">
        <f aca="false">IF(AJ257=1, W257-G257)</f>
        <v>0</v>
      </c>
      <c r="AL257" s="4" t="n">
        <f aca="false">IF(AND(AH257&lt;&gt;-1, G257&lt;&gt;"-", G257&lt;&gt;"."), ((G257-AH257)/G257)*100, -1)</f>
        <v>70.6959183673469</v>
      </c>
      <c r="AN257" s="5" t="n">
        <f aca="false">IF(AND(AO257=C257, A257=AP257), 1, 0)</f>
        <v>1</v>
      </c>
      <c r="AO257" s="5" t="s">
        <v>131</v>
      </c>
      <c r="AP257" s="5" t="n">
        <v>15</v>
      </c>
      <c r="AQ257" s="5" t="n">
        <v>3600</v>
      </c>
      <c r="AR257" s="5" t="n">
        <v>80</v>
      </c>
      <c r="AS257" s="5" t="n">
        <v>1786</v>
      </c>
      <c r="AT257" s="28" t="n">
        <v>19.8113</v>
      </c>
      <c r="AU257" s="28" t="s">
        <v>51</v>
      </c>
      <c r="AV257" s="28" t="n">
        <v>31</v>
      </c>
      <c r="AW257" s="28" t="n">
        <v>31</v>
      </c>
      <c r="AX257" s="28" t="n">
        <v>49</v>
      </c>
      <c r="AY257" s="28" t="n">
        <v>44</v>
      </c>
      <c r="AZ257" s="28" t="n">
        <v>242</v>
      </c>
      <c r="BA257" s="28" t="n">
        <v>1</v>
      </c>
      <c r="BB257" s="6" t="n">
        <f aca="false">IF(AU257="Optimal", 1, 0)</f>
        <v>1</v>
      </c>
    </row>
    <row r="258" customFormat="false" ht="12.8" hidden="false" customHeight="false" outlineLevel="0" collapsed="false">
      <c r="A258" s="1" t="n">
        <v>15</v>
      </c>
      <c r="B258" s="23" t="s">
        <v>64</v>
      </c>
      <c r="C258" s="24" t="s">
        <v>134</v>
      </c>
      <c r="D258" s="32" t="n">
        <v>77</v>
      </c>
      <c r="E258" s="32" t="n">
        <v>254</v>
      </c>
      <c r="F258" s="32" t="n">
        <v>35</v>
      </c>
      <c r="G258" s="32" t="n">
        <v>3</v>
      </c>
      <c r="H258" s="3" t="n">
        <v>1</v>
      </c>
      <c r="I258" s="26" t="n">
        <v>0.45</v>
      </c>
      <c r="J258" s="26" t="n">
        <f aca="false">IF(I258="tl", 0, 1)</f>
        <v>1</v>
      </c>
      <c r="K258" s="26" t="n">
        <v>2.14</v>
      </c>
      <c r="L258" s="26" t="n">
        <f aca="false">IF(K258="tl", 0, 1)</f>
        <v>1</v>
      </c>
      <c r="M258" s="26" t="n">
        <v>0</v>
      </c>
      <c r="N258" s="26" t="n">
        <f aca="false">IF(M258="tl", 0, 1)</f>
        <v>1</v>
      </c>
      <c r="P258" s="23" t="n">
        <v>0</v>
      </c>
      <c r="Q258" s="23"/>
      <c r="R258" s="2" t="n">
        <f aca="false">IF(S258=C258, 1, 0)</f>
        <v>1</v>
      </c>
      <c r="S258" s="2" t="s">
        <v>134</v>
      </c>
      <c r="T258" s="2" t="n">
        <v>77</v>
      </c>
      <c r="U258" s="2" t="n">
        <v>254</v>
      </c>
      <c r="V258" s="2" t="s">
        <v>51</v>
      </c>
      <c r="W258" s="2" t="n">
        <v>3</v>
      </c>
      <c r="X258" s="2" t="n">
        <v>3</v>
      </c>
      <c r="Y258" s="2" t="n">
        <v>1.47607</v>
      </c>
      <c r="Z258" s="2" t="n">
        <v>0.560676</v>
      </c>
      <c r="AA258" s="2" t="n">
        <v>423</v>
      </c>
      <c r="AB258" s="2" t="n">
        <v>1</v>
      </c>
      <c r="AC258" s="2" t="n">
        <v>1093</v>
      </c>
      <c r="AD258" s="2" t="n">
        <v>1856</v>
      </c>
      <c r="AE258" s="2" t="n">
        <v>92</v>
      </c>
      <c r="AF258" s="2" t="n">
        <v>0</v>
      </c>
      <c r="AG258" s="2" t="n">
        <v>0</v>
      </c>
      <c r="AH258" s="2" t="n">
        <v>-1</v>
      </c>
      <c r="AI258" s="2" t="n">
        <v>-1</v>
      </c>
      <c r="AJ258" s="2" t="n">
        <f aca="false">IF(V258="Optimal", 1, 0)</f>
        <v>1</v>
      </c>
      <c r="AK258" s="3" t="n">
        <f aca="false">IF(AJ258=1, W258-G258)</f>
        <v>0</v>
      </c>
      <c r="AL258" s="4" t="n">
        <f aca="false">IF(AND(AH258&lt;&gt;-1, G258&lt;&gt;"-", G258&lt;&gt;"."), ((G258-AH258)/G258)*100, -1)</f>
        <v>-1</v>
      </c>
      <c r="AN258" s="5" t="n">
        <f aca="false">IF(AND(AO258=C258, A258=AP258), 1, 0)</f>
        <v>1</v>
      </c>
      <c r="AO258" s="5" t="s">
        <v>134</v>
      </c>
      <c r="AP258" s="5" t="n">
        <v>15</v>
      </c>
      <c r="AQ258" s="5" t="n">
        <v>3600</v>
      </c>
      <c r="AR258" s="5" t="n">
        <v>77</v>
      </c>
      <c r="AS258" s="5" t="n">
        <v>254</v>
      </c>
      <c r="AT258" s="28" t="n">
        <v>294.595</v>
      </c>
      <c r="AU258" s="28" t="s">
        <v>51</v>
      </c>
      <c r="AV258" s="28" t="n">
        <v>74</v>
      </c>
      <c r="AW258" s="28" t="n">
        <v>74</v>
      </c>
      <c r="AX258" s="28" t="n">
        <v>3</v>
      </c>
      <c r="AY258" s="28" t="n">
        <v>1017</v>
      </c>
      <c r="AZ258" s="28" t="n">
        <v>3091</v>
      </c>
      <c r="BA258" s="28" t="n">
        <v>370</v>
      </c>
      <c r="BB258" s="6" t="n">
        <f aca="false">IF(AU258="Optimal", 1, 0)</f>
        <v>1</v>
      </c>
    </row>
    <row r="259" customFormat="false" ht="12.8" hidden="false" customHeight="false" outlineLevel="0" collapsed="false">
      <c r="A259" s="1" t="n">
        <v>15</v>
      </c>
      <c r="B259" s="23" t="s">
        <v>49</v>
      </c>
      <c r="C259" s="24" t="s">
        <v>138</v>
      </c>
      <c r="D259" s="32" t="n">
        <v>128</v>
      </c>
      <c r="E259" s="32" t="n">
        <v>387</v>
      </c>
      <c r="F259" s="32" t="n">
        <v>44</v>
      </c>
      <c r="G259" s="32" t="n">
        <v>4</v>
      </c>
      <c r="H259" s="3" t="n">
        <v>1</v>
      </c>
      <c r="I259" s="26" t="s">
        <v>53</v>
      </c>
      <c r="J259" s="26" t="n">
        <f aca="false">IF(I259="tl", 0, 1)</f>
        <v>0</v>
      </c>
      <c r="K259" s="26" t="n">
        <v>35.09</v>
      </c>
      <c r="L259" s="26" t="n">
        <f aca="false">IF(K259="tl", 0, 1)</f>
        <v>1</v>
      </c>
      <c r="M259" s="26" t="n">
        <v>1.69</v>
      </c>
      <c r="N259" s="26" t="n">
        <f aca="false">IF(M259="tl", 0, 1)</f>
        <v>1</v>
      </c>
      <c r="P259" s="23" t="n">
        <v>0</v>
      </c>
      <c r="Q259" s="23"/>
      <c r="R259" s="2" t="n">
        <f aca="false">IF(S259=C259, 1, 0)</f>
        <v>1</v>
      </c>
      <c r="S259" s="2" t="s">
        <v>138</v>
      </c>
      <c r="T259" s="2" t="n">
        <v>128</v>
      </c>
      <c r="U259" s="2" t="n">
        <v>387</v>
      </c>
      <c r="V259" s="2" t="s">
        <v>51</v>
      </c>
      <c r="W259" s="2" t="n">
        <v>4</v>
      </c>
      <c r="X259" s="2" t="n">
        <v>4</v>
      </c>
      <c r="Y259" s="2" t="n">
        <v>4.2252</v>
      </c>
      <c r="Z259" s="2" t="n">
        <v>2.96698</v>
      </c>
      <c r="AA259" s="2" t="n">
        <v>638</v>
      </c>
      <c r="AB259" s="2" t="n">
        <v>1</v>
      </c>
      <c r="AC259" s="2" t="n">
        <v>1676</v>
      </c>
      <c r="AD259" s="2" t="n">
        <v>2838</v>
      </c>
      <c r="AE259" s="2" t="n">
        <v>123</v>
      </c>
      <c r="AF259" s="2" t="n">
        <v>0</v>
      </c>
      <c r="AG259" s="2" t="n">
        <v>0</v>
      </c>
      <c r="AH259" s="2" t="n">
        <v>-1</v>
      </c>
      <c r="AI259" s="2" t="n">
        <v>-1</v>
      </c>
      <c r="AJ259" s="2" t="n">
        <f aca="false">IF(V259="Optimal", 1, 0)</f>
        <v>1</v>
      </c>
      <c r="AK259" s="3" t="n">
        <f aca="false">IF(AJ259=1, W259-G259)</f>
        <v>0</v>
      </c>
      <c r="AL259" s="4" t="n">
        <f aca="false">IF(AND(AH259&lt;&gt;-1, G259&lt;&gt;"-", G259&lt;&gt;"."), ((G259-AH259)/G259)*100, -1)</f>
        <v>-1</v>
      </c>
      <c r="AN259" s="5" t="n">
        <f aca="false">IF(AND(AO259=C259, A259=AP259), 1, 0)</f>
        <v>1</v>
      </c>
      <c r="AO259" s="5" t="s">
        <v>138</v>
      </c>
      <c r="AP259" s="5" t="n">
        <v>15</v>
      </c>
      <c r="AQ259" s="5" t="n">
        <v>3600</v>
      </c>
      <c r="AR259" s="5" t="n">
        <v>128</v>
      </c>
      <c r="AS259" s="5" t="n">
        <v>387</v>
      </c>
      <c r="AT259" s="28" t="n">
        <v>3600</v>
      </c>
      <c r="AU259" s="28" t="s">
        <v>54</v>
      </c>
      <c r="AV259" s="28" t="n">
        <v>127.15</v>
      </c>
      <c r="AW259" s="28" t="n">
        <v>123</v>
      </c>
      <c r="AX259" s="28" t="n">
        <v>5</v>
      </c>
      <c r="AY259" s="28" t="n">
        <v>1796</v>
      </c>
      <c r="AZ259" s="28" t="n">
        <v>5843</v>
      </c>
      <c r="BA259" s="28" t="n">
        <v>5993</v>
      </c>
      <c r="BB259" s="6" t="n">
        <f aca="false">IF(AU259="Optimal", 1, 0)</f>
        <v>0</v>
      </c>
    </row>
    <row r="260" customFormat="false" ht="12.8" hidden="false" customHeight="false" outlineLevel="0" collapsed="false">
      <c r="A260" s="1" t="n">
        <v>15</v>
      </c>
      <c r="B260" s="23" t="s">
        <v>49</v>
      </c>
      <c r="C260" s="24" t="s">
        <v>139</v>
      </c>
      <c r="D260" s="32" t="n">
        <v>128</v>
      </c>
      <c r="E260" s="32" t="n">
        <v>1170</v>
      </c>
      <c r="F260" s="32" t="n">
        <v>18</v>
      </c>
      <c r="G260" s="32" t="s">
        <v>77</v>
      </c>
      <c r="H260" s="3" t="n">
        <v>0</v>
      </c>
      <c r="I260" s="26" t="s">
        <v>53</v>
      </c>
      <c r="J260" s="26" t="n">
        <f aca="false">IF(I260="tl", 0, 1)</f>
        <v>0</v>
      </c>
      <c r="K260" s="26" t="s">
        <v>53</v>
      </c>
      <c r="L260" s="26" t="n">
        <f aca="false">IF(K260="tl", 0, 1)</f>
        <v>0</v>
      </c>
      <c r="M260" s="26" t="s">
        <v>53</v>
      </c>
      <c r="N260" s="26" t="n">
        <f aca="false">IF(M260="tl", 0, 1)</f>
        <v>0</v>
      </c>
      <c r="P260" s="23" t="n">
        <v>0</v>
      </c>
      <c r="Q260" s="23"/>
      <c r="R260" s="2" t="n">
        <f aca="false">IF(S260=C260, 1, 0)</f>
        <v>1</v>
      </c>
      <c r="S260" s="2" t="s">
        <v>139</v>
      </c>
      <c r="T260" s="2" t="n">
        <v>128</v>
      </c>
      <c r="U260" s="2" t="n">
        <v>1170</v>
      </c>
      <c r="V260" s="2" t="s">
        <v>54</v>
      </c>
      <c r="W260" s="42" t="n">
        <v>1E+020</v>
      </c>
      <c r="X260" s="2" t="n">
        <v>14.2222</v>
      </c>
      <c r="Y260" s="2" t="n">
        <v>1800.08</v>
      </c>
      <c r="Z260" s="2" t="n">
        <v>46.371</v>
      </c>
      <c r="AA260" s="2" t="n">
        <v>2880</v>
      </c>
      <c r="AB260" s="2" t="n">
        <v>7</v>
      </c>
      <c r="AC260" s="2" t="n">
        <v>4808</v>
      </c>
      <c r="AD260" s="2" t="n">
        <v>8319</v>
      </c>
      <c r="AE260" s="2" t="n">
        <v>35</v>
      </c>
      <c r="AF260" s="2" t="n">
        <v>0</v>
      </c>
      <c r="AG260" s="2" t="n">
        <v>5</v>
      </c>
      <c r="AH260" s="2" t="n">
        <v>14.2222</v>
      </c>
      <c r="AI260" s="42" t="n">
        <v>1E+020</v>
      </c>
      <c r="AJ260" s="2" t="n">
        <f aca="false">IF(V260="Optimal", 1, 0)</f>
        <v>0</v>
      </c>
      <c r="AK260" s="29" t="b">
        <f aca="false">IF(AJ260=1, W260-G260)</f>
        <v>0</v>
      </c>
      <c r="AL260" s="4" t="n">
        <f aca="false">IF(AND(AH260&lt;&gt;-1, G260&lt;&gt;"-", G260&lt;&gt;"."), ((G260-AH260)/G260)*100, -1)</f>
        <v>-1</v>
      </c>
      <c r="AN260" s="5" t="n">
        <f aca="false">IF(AND(AO260=C260, A260=AP260), 1, 0)</f>
        <v>1</v>
      </c>
      <c r="AO260" s="5" t="s">
        <v>139</v>
      </c>
      <c r="AP260" s="5" t="n">
        <v>15</v>
      </c>
      <c r="AQ260" s="5" t="n">
        <v>3600</v>
      </c>
      <c r="AR260" s="5" t="n">
        <v>128</v>
      </c>
      <c r="AS260" s="5" t="n">
        <v>1170</v>
      </c>
      <c r="AT260" s="28" t="n">
        <v>3600</v>
      </c>
      <c r="AU260" s="28" t="s">
        <v>54</v>
      </c>
      <c r="AV260" s="28" t="n">
        <v>123.733</v>
      </c>
      <c r="AW260" s="28" t="n">
        <v>56</v>
      </c>
      <c r="AX260" s="28" t="n">
        <v>72</v>
      </c>
      <c r="AY260" s="28" t="n">
        <v>1775</v>
      </c>
      <c r="AZ260" s="28" t="n">
        <v>18330</v>
      </c>
      <c r="BA260" s="28" t="n">
        <v>743</v>
      </c>
      <c r="BB260" s="6" t="n">
        <f aca="false">IF(AU260="Optimal", 1, 0)</f>
        <v>0</v>
      </c>
    </row>
    <row r="261" customFormat="false" ht="12.8" hidden="false" customHeight="false" outlineLevel="0" collapsed="false">
      <c r="A261" s="1" t="n">
        <v>15</v>
      </c>
      <c r="B261" s="23" t="s">
        <v>49</v>
      </c>
      <c r="C261" s="24" t="s">
        <v>141</v>
      </c>
      <c r="D261" s="32" t="n">
        <v>100</v>
      </c>
      <c r="E261" s="32" t="n">
        <v>166</v>
      </c>
      <c r="F261" s="32" t="n">
        <v>33</v>
      </c>
      <c r="G261" s="32" t="n">
        <v>15</v>
      </c>
      <c r="H261" s="3" t="n">
        <v>1</v>
      </c>
      <c r="I261" s="26" t="s">
        <v>53</v>
      </c>
      <c r="J261" s="26" t="n">
        <f aca="false">IF(I261="tl", 0, 1)</f>
        <v>0</v>
      </c>
      <c r="K261" s="26" t="n">
        <v>28.3</v>
      </c>
      <c r="L261" s="26" t="n">
        <f aca="false">IF(K261="tl", 0, 1)</f>
        <v>1</v>
      </c>
      <c r="M261" s="26" t="n">
        <v>17.58</v>
      </c>
      <c r="N261" s="26" t="n">
        <f aca="false">IF(M261="tl", 0, 1)</f>
        <v>1</v>
      </c>
      <c r="P261" s="23" t="n">
        <v>0</v>
      </c>
      <c r="Q261" s="23"/>
      <c r="R261" s="2" t="n">
        <f aca="false">IF(S261=C261, 1, 0)</f>
        <v>1</v>
      </c>
      <c r="S261" s="2" t="s">
        <v>141</v>
      </c>
      <c r="T261" s="2" t="n">
        <v>100</v>
      </c>
      <c r="U261" s="2" t="n">
        <v>166</v>
      </c>
      <c r="V261" s="2" t="s">
        <v>51</v>
      </c>
      <c r="W261" s="2" t="n">
        <v>15</v>
      </c>
      <c r="X261" s="2" t="n">
        <v>15</v>
      </c>
      <c r="Y261" s="2" t="n">
        <v>5.80663</v>
      </c>
      <c r="Z261" s="2" t="n">
        <v>3.96317</v>
      </c>
      <c r="AA261" s="2" t="n">
        <v>408</v>
      </c>
      <c r="AB261" s="2" t="n">
        <v>9</v>
      </c>
      <c r="AC261" s="2" t="n">
        <v>764</v>
      </c>
      <c r="AD261" s="2" t="n">
        <v>1263</v>
      </c>
      <c r="AE261" s="2" t="n">
        <v>138</v>
      </c>
      <c r="AF261" s="2" t="n">
        <v>0</v>
      </c>
      <c r="AG261" s="2" t="n">
        <v>3</v>
      </c>
      <c r="AH261" s="2" t="n">
        <v>14</v>
      </c>
      <c r="AI261" s="2" t="n">
        <v>15</v>
      </c>
      <c r="AJ261" s="2" t="n">
        <f aca="false">IF(V261="Optimal", 1, 0)</f>
        <v>1</v>
      </c>
      <c r="AK261" s="3" t="n">
        <f aca="false">IF(AJ261=1, W261-G261)</f>
        <v>0</v>
      </c>
      <c r="AL261" s="4" t="n">
        <f aca="false">IF(AND(AH261&lt;&gt;-1, G261&lt;&gt;"-", G261&lt;&gt;"."), ((G261-AH261)/G261)*100, -1)</f>
        <v>6.66666666666667</v>
      </c>
      <c r="AN261" s="5" t="n">
        <f aca="false">IF(AND(AO261=C261, A261=AP261), 1, 0)</f>
        <v>1</v>
      </c>
      <c r="AO261" s="5" t="s">
        <v>141</v>
      </c>
      <c r="AP261" s="5" t="n">
        <v>15</v>
      </c>
      <c r="AQ261" s="5" t="n">
        <v>3600</v>
      </c>
      <c r="AR261" s="5" t="n">
        <v>100</v>
      </c>
      <c r="AS261" s="5" t="n">
        <v>166</v>
      </c>
      <c r="AT261" s="28" t="n">
        <v>3600</v>
      </c>
      <c r="AU261" s="28" t="s">
        <v>54</v>
      </c>
      <c r="AV261" s="28" t="n">
        <v>97.6635</v>
      </c>
      <c r="AW261" s="28" t="n">
        <v>82</v>
      </c>
      <c r="AX261" s="28" t="n">
        <v>18</v>
      </c>
      <c r="AY261" s="28" t="n">
        <v>1283</v>
      </c>
      <c r="AZ261" s="28" t="n">
        <v>2849</v>
      </c>
      <c r="BA261" s="28" t="n">
        <v>9507</v>
      </c>
      <c r="BB261" s="6" t="n">
        <f aca="false">IF(AU261="Optimal", 1, 0)</f>
        <v>0</v>
      </c>
    </row>
    <row r="262" customFormat="false" ht="12.8" hidden="false" customHeight="false" outlineLevel="0" collapsed="false">
      <c r="A262" s="1" t="n">
        <v>15</v>
      </c>
      <c r="B262" s="23" t="s">
        <v>49</v>
      </c>
      <c r="C262" s="24" t="s">
        <v>142</v>
      </c>
      <c r="D262" s="32" t="n">
        <v>100</v>
      </c>
      <c r="E262" s="32" t="n">
        <v>166</v>
      </c>
      <c r="F262" s="32" t="n">
        <v>33</v>
      </c>
      <c r="G262" s="32" t="n">
        <v>15</v>
      </c>
      <c r="H262" s="3" t="n">
        <v>1</v>
      </c>
      <c r="I262" s="26" t="s">
        <v>53</v>
      </c>
      <c r="J262" s="26" t="n">
        <f aca="false">IF(I262="tl", 0, 1)</f>
        <v>0</v>
      </c>
      <c r="K262" s="26" t="n">
        <v>29.64</v>
      </c>
      <c r="L262" s="26" t="n">
        <f aca="false">IF(K262="tl", 0, 1)</f>
        <v>1</v>
      </c>
      <c r="M262" s="26" t="n">
        <v>5.71</v>
      </c>
      <c r="N262" s="26" t="n">
        <f aca="false">IF(M262="tl", 0, 1)</f>
        <v>1</v>
      </c>
      <c r="P262" s="23" t="n">
        <v>0</v>
      </c>
      <c r="Q262" s="23"/>
      <c r="R262" s="2" t="n">
        <f aca="false">IF(S262=C262, 1, 0)</f>
        <v>1</v>
      </c>
      <c r="S262" s="2" t="s">
        <v>142</v>
      </c>
      <c r="T262" s="2" t="n">
        <v>100</v>
      </c>
      <c r="U262" s="2" t="n">
        <v>166</v>
      </c>
      <c r="V262" s="2" t="s">
        <v>51</v>
      </c>
      <c r="W262" s="2" t="n">
        <v>15</v>
      </c>
      <c r="X262" s="2" t="n">
        <v>15</v>
      </c>
      <c r="Y262" s="2" t="n">
        <v>5.16425</v>
      </c>
      <c r="Z262" s="2" t="n">
        <v>3.89209</v>
      </c>
      <c r="AA262" s="2" t="n">
        <v>402</v>
      </c>
      <c r="AB262" s="2" t="n">
        <v>3</v>
      </c>
      <c r="AC262" s="2" t="n">
        <v>764</v>
      </c>
      <c r="AD262" s="2" t="n">
        <v>1263</v>
      </c>
      <c r="AE262" s="2" t="n">
        <v>133</v>
      </c>
      <c r="AF262" s="2" t="n">
        <v>0</v>
      </c>
      <c r="AG262" s="2" t="n">
        <v>1</v>
      </c>
      <c r="AH262" s="2" t="n">
        <v>13.7627</v>
      </c>
      <c r="AI262" s="2" t="n">
        <v>16</v>
      </c>
      <c r="AJ262" s="2" t="n">
        <f aca="false">IF(V262="Optimal", 1, 0)</f>
        <v>1</v>
      </c>
      <c r="AK262" s="3" t="n">
        <f aca="false">IF(AJ262=1, W262-G262)</f>
        <v>0</v>
      </c>
      <c r="AL262" s="4" t="n">
        <f aca="false">IF(AND(AH262&lt;&gt;-1, G262&lt;&gt;"-", G262&lt;&gt;"."), ((G262-AH262)/G262)*100, -1)</f>
        <v>8.24866666666666</v>
      </c>
      <c r="AN262" s="5" t="n">
        <f aca="false">IF(AND(AO262=C262, A262=AP262), 1, 0)</f>
        <v>1</v>
      </c>
      <c r="AO262" s="5" t="s">
        <v>142</v>
      </c>
      <c r="AP262" s="5" t="n">
        <v>15</v>
      </c>
      <c r="AQ262" s="5" t="n">
        <v>3600</v>
      </c>
      <c r="AR262" s="5" t="n">
        <v>100</v>
      </c>
      <c r="AS262" s="5" t="n">
        <v>166</v>
      </c>
      <c r="AT262" s="28" t="n">
        <v>3600</v>
      </c>
      <c r="AU262" s="28" t="s">
        <v>54</v>
      </c>
      <c r="AV262" s="28" t="n">
        <v>97.8694</v>
      </c>
      <c r="AW262" s="28" t="n">
        <v>81</v>
      </c>
      <c r="AX262" s="28" t="n">
        <v>19</v>
      </c>
      <c r="AY262" s="28" t="n">
        <v>1381</v>
      </c>
      <c r="AZ262" s="28" t="n">
        <v>3151</v>
      </c>
      <c r="BA262" s="28" t="n">
        <v>8201</v>
      </c>
      <c r="BB262" s="6" t="n">
        <f aca="false">IF(AU262="Optimal", 1, 0)</f>
        <v>0</v>
      </c>
    </row>
    <row r="263" customFormat="false" ht="12.8" hidden="false" customHeight="false" outlineLevel="0" collapsed="false">
      <c r="A263" s="1" t="n">
        <v>15</v>
      </c>
      <c r="B263" s="23" t="s">
        <v>49</v>
      </c>
      <c r="C263" s="24" t="s">
        <v>143</v>
      </c>
      <c r="D263" s="32" t="n">
        <v>88</v>
      </c>
      <c r="E263" s="32" t="n">
        <v>146</v>
      </c>
      <c r="F263" s="32" t="n">
        <v>29</v>
      </c>
      <c r="G263" s="32" t="n">
        <v>15</v>
      </c>
      <c r="H263" s="3" t="n">
        <v>1</v>
      </c>
      <c r="I263" s="26" t="s">
        <v>53</v>
      </c>
      <c r="J263" s="26" t="n">
        <f aca="false">IF(I263="tl", 0, 1)</f>
        <v>0</v>
      </c>
      <c r="K263" s="26" t="n">
        <v>33.55</v>
      </c>
      <c r="L263" s="26" t="n">
        <f aca="false">IF(K263="tl", 0, 1)</f>
        <v>1</v>
      </c>
      <c r="M263" s="26" t="n">
        <v>5.83</v>
      </c>
      <c r="N263" s="26" t="n">
        <f aca="false">IF(M263="tl", 0, 1)</f>
        <v>1</v>
      </c>
      <c r="P263" s="23" t="n">
        <v>0</v>
      </c>
      <c r="Q263" s="23"/>
      <c r="R263" s="2" t="n">
        <f aca="false">IF(S263=C263, 1, 0)</f>
        <v>1</v>
      </c>
      <c r="S263" s="2" t="s">
        <v>143</v>
      </c>
      <c r="T263" s="2" t="n">
        <v>88</v>
      </c>
      <c r="U263" s="2" t="n">
        <v>146</v>
      </c>
      <c r="V263" s="2" t="s">
        <v>51</v>
      </c>
      <c r="W263" s="2" t="n">
        <v>15</v>
      </c>
      <c r="X263" s="2" t="n">
        <v>15</v>
      </c>
      <c r="Y263" s="2" t="n">
        <v>3.72098</v>
      </c>
      <c r="Z263" s="2" t="n">
        <v>2.98471</v>
      </c>
      <c r="AA263" s="2" t="n">
        <v>334</v>
      </c>
      <c r="AB263" s="2" t="n">
        <v>3</v>
      </c>
      <c r="AC263" s="2" t="n">
        <v>672</v>
      </c>
      <c r="AD263" s="2" t="n">
        <v>1111</v>
      </c>
      <c r="AE263" s="2" t="n">
        <v>100</v>
      </c>
      <c r="AF263" s="2" t="n">
        <v>0</v>
      </c>
      <c r="AG263" s="2" t="n">
        <v>1</v>
      </c>
      <c r="AH263" s="2" t="n">
        <v>14</v>
      </c>
      <c r="AI263" s="2" t="n">
        <v>32</v>
      </c>
      <c r="AJ263" s="2" t="n">
        <f aca="false">IF(V263="Optimal", 1, 0)</f>
        <v>1</v>
      </c>
      <c r="AK263" s="3" t="n">
        <f aca="false">IF(AJ263=1, W263-G263)</f>
        <v>0</v>
      </c>
      <c r="AL263" s="4" t="n">
        <f aca="false">IF(AND(AH263&lt;&gt;-1, G263&lt;&gt;"-", G263&lt;&gt;"."), ((G263-AH263)/G263)*100, -1)</f>
        <v>6.66666666666667</v>
      </c>
      <c r="AN263" s="5" t="n">
        <f aca="false">IF(AND(AO263=C263, A263=AP263), 1, 0)</f>
        <v>1</v>
      </c>
      <c r="AO263" s="5" t="s">
        <v>143</v>
      </c>
      <c r="AP263" s="5" t="n">
        <v>15</v>
      </c>
      <c r="AQ263" s="5" t="n">
        <v>3600</v>
      </c>
      <c r="AR263" s="5" t="n">
        <v>88</v>
      </c>
      <c r="AS263" s="5" t="n">
        <v>146</v>
      </c>
      <c r="AT263" s="28" t="n">
        <v>3600</v>
      </c>
      <c r="AU263" s="28" t="s">
        <v>54</v>
      </c>
      <c r="AV263" s="28" t="n">
        <v>85.0439</v>
      </c>
      <c r="AW263" s="28" t="n">
        <v>71</v>
      </c>
      <c r="AX263" s="28" t="n">
        <v>17</v>
      </c>
      <c r="AY263" s="28" t="n">
        <v>1122</v>
      </c>
      <c r="AZ263" s="28" t="n">
        <v>3336</v>
      </c>
      <c r="BA263" s="28" t="n">
        <v>12834</v>
      </c>
      <c r="BB263" s="6" t="n">
        <f aca="false">IF(AU263="Optimal", 1, 0)</f>
        <v>0</v>
      </c>
    </row>
    <row r="264" customFormat="false" ht="12.8" hidden="false" customHeight="false" outlineLevel="0" collapsed="false">
      <c r="A264" s="1" t="n">
        <v>15</v>
      </c>
      <c r="B264" s="23" t="s">
        <v>49</v>
      </c>
      <c r="C264" s="24" t="s">
        <v>144</v>
      </c>
      <c r="D264" s="32" t="n">
        <v>88</v>
      </c>
      <c r="E264" s="32" t="n">
        <v>146</v>
      </c>
      <c r="F264" s="32" t="n">
        <v>29</v>
      </c>
      <c r="G264" s="32" t="n">
        <v>14</v>
      </c>
      <c r="H264" s="3" t="n">
        <v>1</v>
      </c>
      <c r="I264" s="26" t="s">
        <v>53</v>
      </c>
      <c r="J264" s="26" t="n">
        <f aca="false">IF(I264="tl", 0, 1)</f>
        <v>0</v>
      </c>
      <c r="K264" s="26" t="n">
        <v>28.67</v>
      </c>
      <c r="L264" s="26" t="n">
        <f aca="false">IF(K264="tl", 0, 1)</f>
        <v>1</v>
      </c>
      <c r="M264" s="26" t="n">
        <v>5.28</v>
      </c>
      <c r="N264" s="26" t="n">
        <f aca="false">IF(M264="tl", 0, 1)</f>
        <v>1</v>
      </c>
      <c r="P264" s="23" t="n">
        <v>0</v>
      </c>
      <c r="Q264" s="23"/>
      <c r="R264" s="2" t="n">
        <f aca="false">IF(S264=C264, 1, 0)</f>
        <v>1</v>
      </c>
      <c r="S264" s="2" t="s">
        <v>144</v>
      </c>
      <c r="T264" s="2" t="n">
        <v>88</v>
      </c>
      <c r="U264" s="2" t="n">
        <v>146</v>
      </c>
      <c r="V264" s="2" t="s">
        <v>51</v>
      </c>
      <c r="W264" s="2" t="n">
        <v>14</v>
      </c>
      <c r="X264" s="2" t="n">
        <v>14</v>
      </c>
      <c r="Y264" s="2" t="n">
        <v>2.25724</v>
      </c>
      <c r="Z264" s="2" t="n">
        <v>1.47055</v>
      </c>
      <c r="AA264" s="2" t="n">
        <v>337</v>
      </c>
      <c r="AB264" s="2" t="n">
        <v>2</v>
      </c>
      <c r="AC264" s="2" t="n">
        <v>672</v>
      </c>
      <c r="AD264" s="2" t="n">
        <v>1111</v>
      </c>
      <c r="AE264" s="2" t="n">
        <v>90</v>
      </c>
      <c r="AF264" s="2" t="n">
        <v>0</v>
      </c>
      <c r="AG264" s="2" t="n">
        <v>1</v>
      </c>
      <c r="AH264" s="2" t="n">
        <v>14</v>
      </c>
      <c r="AI264" s="2" t="n">
        <v>17</v>
      </c>
      <c r="AJ264" s="2" t="n">
        <f aca="false">IF(V264="Optimal", 1, 0)</f>
        <v>1</v>
      </c>
      <c r="AK264" s="3" t="n">
        <f aca="false">IF(AJ264=1, W264-G264)</f>
        <v>0</v>
      </c>
      <c r="AL264" s="4" t="n">
        <f aca="false">IF(AND(AH264&lt;&gt;-1, G264&lt;&gt;"-", G264&lt;&gt;"."), ((G264-AH264)/G264)*100, -1)</f>
        <v>0</v>
      </c>
      <c r="AN264" s="5" t="n">
        <f aca="false">IF(AND(AO264=C264, A264=AP264), 1, 0)</f>
        <v>1</v>
      </c>
      <c r="AO264" s="5" t="s">
        <v>144</v>
      </c>
      <c r="AP264" s="5" t="n">
        <v>15</v>
      </c>
      <c r="AQ264" s="5" t="n">
        <v>3600</v>
      </c>
      <c r="AR264" s="5" t="n">
        <v>88</v>
      </c>
      <c r="AS264" s="5" t="n">
        <v>146</v>
      </c>
      <c r="AT264" s="28" t="n">
        <v>3600</v>
      </c>
      <c r="AU264" s="28" t="s">
        <v>54</v>
      </c>
      <c r="AV264" s="28" t="n">
        <v>85.026</v>
      </c>
      <c r="AW264" s="28" t="n">
        <v>69</v>
      </c>
      <c r="AX264" s="28" t="n">
        <v>19</v>
      </c>
      <c r="AY264" s="28" t="n">
        <v>1109</v>
      </c>
      <c r="AZ264" s="28" t="n">
        <v>3650</v>
      </c>
      <c r="BA264" s="28" t="n">
        <v>27387</v>
      </c>
      <c r="BB264" s="6" t="n">
        <f aca="false">IF(AU264="Optimal", 1, 0)</f>
        <v>0</v>
      </c>
    </row>
    <row r="265" customFormat="false" ht="12.8" hidden="false" customHeight="false" outlineLevel="0" collapsed="false">
      <c r="A265" s="1" t="n">
        <v>15</v>
      </c>
      <c r="B265" s="23" t="s">
        <v>49</v>
      </c>
      <c r="C265" s="24" t="s">
        <v>145</v>
      </c>
      <c r="D265" s="32" t="n">
        <v>188</v>
      </c>
      <c r="E265" s="32" t="n">
        <v>3885</v>
      </c>
      <c r="F265" s="32" t="n">
        <v>90</v>
      </c>
      <c r="G265" s="32" t="s">
        <v>86</v>
      </c>
      <c r="H265" s="3" t="n">
        <v>1</v>
      </c>
      <c r="I265" s="25" t="s">
        <v>86</v>
      </c>
      <c r="J265" s="26" t="n">
        <f aca="false">IF(I265="tl", 0, 1)</f>
        <v>1</v>
      </c>
      <c r="K265" s="25" t="s">
        <v>86</v>
      </c>
      <c r="L265" s="26" t="n">
        <f aca="false">IF(K265="tl", 0, 1)</f>
        <v>1</v>
      </c>
      <c r="M265" s="25" t="s">
        <v>86</v>
      </c>
      <c r="N265" s="26" t="n">
        <f aca="false">IF(M265="tl", 0, 1)</f>
        <v>1</v>
      </c>
      <c r="P265" s="23" t="n">
        <v>0</v>
      </c>
      <c r="Q265" s="23"/>
      <c r="R265" s="2" t="n">
        <f aca="false">IF(S265=C265, 1, 0)</f>
        <v>1</v>
      </c>
      <c r="S265" s="2" t="s">
        <v>145</v>
      </c>
      <c r="T265" s="2" t="n">
        <v>188</v>
      </c>
      <c r="U265" s="2" t="n">
        <v>3885</v>
      </c>
      <c r="V265" s="2" t="s">
        <v>51</v>
      </c>
      <c r="W265" s="2" t="n">
        <v>0</v>
      </c>
      <c r="X265" s="2" t="n">
        <v>0</v>
      </c>
      <c r="Y265" s="2" t="n">
        <v>50.2279</v>
      </c>
      <c r="Z265" s="2" t="n">
        <v>0.855268</v>
      </c>
      <c r="AA265" s="2" t="n">
        <v>4074</v>
      </c>
      <c r="AB265" s="2" t="n">
        <v>1</v>
      </c>
      <c r="AC265" s="2" t="n">
        <v>15728</v>
      </c>
      <c r="AD265" s="2" t="n">
        <v>27384</v>
      </c>
      <c r="AE265" s="2" t="n">
        <v>1</v>
      </c>
      <c r="AF265" s="2" t="n">
        <v>0</v>
      </c>
      <c r="AG265" s="2" t="n">
        <v>0</v>
      </c>
      <c r="AH265" s="2" t="n">
        <v>-1</v>
      </c>
      <c r="AI265" s="2" t="n">
        <v>-1</v>
      </c>
      <c r="AJ265" s="2" t="n">
        <f aca="false">IF(V265="Optimal", 1, 0)</f>
        <v>1</v>
      </c>
      <c r="AK265" s="3" t="e">
        <f aca="false">IF(AJ265=1, W265-G265)</f>
        <v>#VALUE!</v>
      </c>
      <c r="AL265" s="4" t="n">
        <f aca="false">IF(AND(AH265&lt;&gt;-1, G265&lt;&gt;"-", G265&lt;&gt;"."), ((G265-AH265)/G265)*100, -1)</f>
        <v>-1</v>
      </c>
      <c r="AN265" s="5" t="n">
        <f aca="false">IF(AND(AO265=C265, A265=AP265), 1, 0)</f>
        <v>1</v>
      </c>
      <c r="AO265" s="5" t="s">
        <v>145</v>
      </c>
      <c r="AP265" s="5" t="n">
        <v>15</v>
      </c>
      <c r="AQ265" s="5" t="n">
        <v>3600</v>
      </c>
      <c r="AR265" s="5" t="n">
        <v>188</v>
      </c>
      <c r="AS265" s="5" t="n">
        <v>3885</v>
      </c>
      <c r="AT265" s="28" t="n">
        <v>192.275</v>
      </c>
      <c r="AU265" s="28" t="s">
        <v>51</v>
      </c>
      <c r="AV265" s="28" t="n">
        <v>188</v>
      </c>
      <c r="AW265" s="28" t="n">
        <v>188</v>
      </c>
      <c r="AX265" s="28" t="n">
        <v>0</v>
      </c>
      <c r="AY265" s="28" t="n">
        <v>2820</v>
      </c>
      <c r="AZ265" s="28" t="n">
        <v>58504</v>
      </c>
      <c r="BA265" s="28" t="n">
        <v>1</v>
      </c>
      <c r="BB265" s="6" t="n">
        <f aca="false">IF(AU265="Optimal", 1, 0)</f>
        <v>1</v>
      </c>
    </row>
    <row r="266" customFormat="false" ht="12.8" hidden="false" customHeight="false" outlineLevel="0" collapsed="false">
      <c r="A266" s="1" t="n">
        <v>15</v>
      </c>
      <c r="B266" s="23" t="s">
        <v>49</v>
      </c>
      <c r="C266" s="24" t="s">
        <v>146</v>
      </c>
      <c r="D266" s="32" t="n">
        <v>184</v>
      </c>
      <c r="E266" s="32" t="n">
        <v>3916</v>
      </c>
      <c r="F266" s="32" t="n">
        <v>86</v>
      </c>
      <c r="G266" s="32" t="n">
        <v>18</v>
      </c>
      <c r="H266" s="3" t="n">
        <v>1</v>
      </c>
      <c r="I266" s="26" t="n">
        <v>230.54</v>
      </c>
      <c r="J266" s="26" t="n">
        <f aca="false">IF(I266="tl", 0, 1)</f>
        <v>1</v>
      </c>
      <c r="K266" s="26" t="s">
        <v>53</v>
      </c>
      <c r="L266" s="26" t="n">
        <f aca="false">IF(K266="tl", 0, 1)</f>
        <v>0</v>
      </c>
      <c r="M266" s="26" t="n">
        <v>0.13</v>
      </c>
      <c r="N266" s="26" t="n">
        <f aca="false">IF(M266="tl", 0, 1)</f>
        <v>1</v>
      </c>
      <c r="P266" s="23" t="n">
        <v>3</v>
      </c>
      <c r="Q266" s="23"/>
      <c r="R266" s="2" t="n">
        <f aca="false">IF(S266=C266, 1, 0)</f>
        <v>1</v>
      </c>
      <c r="S266" s="2" t="s">
        <v>146</v>
      </c>
      <c r="T266" s="2" t="n">
        <v>184</v>
      </c>
      <c r="U266" s="2" t="n">
        <v>3916</v>
      </c>
      <c r="V266" s="2" t="s">
        <v>54</v>
      </c>
      <c r="W266" s="2" t="n">
        <v>51</v>
      </c>
      <c r="X266" s="2" t="n">
        <v>3.46269</v>
      </c>
      <c r="Y266" s="2" t="n">
        <v>1800</v>
      </c>
      <c r="Z266" s="2" t="n">
        <v>397.031</v>
      </c>
      <c r="AA266" s="2" t="n">
        <v>5348</v>
      </c>
      <c r="AB266" s="2" t="n">
        <v>3</v>
      </c>
      <c r="AC266" s="2" t="n">
        <v>15848</v>
      </c>
      <c r="AD266" s="2" t="n">
        <v>27597</v>
      </c>
      <c r="AE266" s="2" t="n">
        <v>171</v>
      </c>
      <c r="AF266" s="2" t="n">
        <v>0</v>
      </c>
      <c r="AG266" s="2" t="n">
        <v>1</v>
      </c>
      <c r="AH266" s="2" t="n">
        <v>3.46269</v>
      </c>
      <c r="AI266" s="2" t="n">
        <v>51</v>
      </c>
      <c r="AJ266" s="2" t="n">
        <f aca="false">IF(V266="Optimal", 1, 0)</f>
        <v>0</v>
      </c>
      <c r="AK266" s="29" t="b">
        <f aca="false">IF(AJ266=1, W266-G266)</f>
        <v>0</v>
      </c>
      <c r="AL266" s="4" t="n">
        <f aca="false">IF(AND(AH266&lt;&gt;-1, G266&lt;&gt;"-", G266&lt;&gt;"."), ((G266-AH266)/G266)*100, -1)</f>
        <v>80.7628333333333</v>
      </c>
      <c r="AN266" s="5" t="n">
        <f aca="false">IF(AND(AO266=C266, A266=AP266), 1, 0)</f>
        <v>1</v>
      </c>
      <c r="AO266" s="5" t="s">
        <v>146</v>
      </c>
      <c r="AP266" s="5" t="n">
        <v>15</v>
      </c>
      <c r="AQ266" s="5" t="n">
        <v>3600</v>
      </c>
      <c r="AR266" s="5" t="n">
        <v>184</v>
      </c>
      <c r="AS266" s="5" t="n">
        <v>3916</v>
      </c>
      <c r="AT266" s="28" t="n">
        <v>3600</v>
      </c>
      <c r="AU266" s="28" t="s">
        <v>54</v>
      </c>
      <c r="AV266" s="28" t="n">
        <v>182</v>
      </c>
      <c r="AW266" s="28" t="n">
        <v>159</v>
      </c>
      <c r="AX266" s="28" t="n">
        <v>25</v>
      </c>
      <c r="AY266" s="28" t="n">
        <v>2760</v>
      </c>
      <c r="AZ266" s="28" t="n">
        <v>59193</v>
      </c>
      <c r="BA266" s="28" t="n">
        <v>431</v>
      </c>
      <c r="BB266" s="6" t="n">
        <f aca="false">IF(AU266="Optimal", 1, 0)</f>
        <v>0</v>
      </c>
    </row>
    <row r="267" customFormat="false" ht="12.8" hidden="false" customHeight="false" outlineLevel="0" collapsed="false">
      <c r="A267" s="1" t="n">
        <v>15</v>
      </c>
      <c r="B267" s="23" t="s">
        <v>49</v>
      </c>
      <c r="C267" s="24" t="s">
        <v>147</v>
      </c>
      <c r="D267" s="32" t="n">
        <v>185</v>
      </c>
      <c r="E267" s="32" t="n">
        <v>3946</v>
      </c>
      <c r="F267" s="32" t="n">
        <v>86</v>
      </c>
      <c r="G267" s="32" t="n">
        <v>18</v>
      </c>
      <c r="H267" s="3" t="n">
        <v>1</v>
      </c>
      <c r="I267" s="26" t="n">
        <v>197.86</v>
      </c>
      <c r="J267" s="26" t="n">
        <f aca="false">IF(I267="tl", 0, 1)</f>
        <v>1</v>
      </c>
      <c r="K267" s="26" t="s">
        <v>53</v>
      </c>
      <c r="L267" s="26" t="n">
        <f aca="false">IF(K267="tl", 0, 1)</f>
        <v>0</v>
      </c>
      <c r="M267" s="26" t="n">
        <v>37.05</v>
      </c>
      <c r="N267" s="26" t="n">
        <f aca="false">IF(M267="tl", 0, 1)</f>
        <v>1</v>
      </c>
      <c r="P267" s="23" t="n">
        <v>3</v>
      </c>
      <c r="Q267" s="23"/>
      <c r="R267" s="2" t="n">
        <f aca="false">IF(S267=C267, 1, 0)</f>
        <v>1</v>
      </c>
      <c r="S267" s="2" t="s">
        <v>147</v>
      </c>
      <c r="T267" s="2" t="n">
        <v>185</v>
      </c>
      <c r="U267" s="2" t="n">
        <v>3946</v>
      </c>
      <c r="V267" s="2" t="s">
        <v>54</v>
      </c>
      <c r="W267" s="2" t="n">
        <v>52</v>
      </c>
      <c r="X267" s="2" t="n">
        <v>3.46269</v>
      </c>
      <c r="Y267" s="2" t="n">
        <v>1800.07</v>
      </c>
      <c r="Z267" s="2" t="n">
        <v>425.26</v>
      </c>
      <c r="AA267" s="2" t="n">
        <v>5160</v>
      </c>
      <c r="AB267" s="2" t="n">
        <v>3</v>
      </c>
      <c r="AC267" s="2" t="n">
        <v>15969</v>
      </c>
      <c r="AD267" s="2" t="n">
        <v>27808</v>
      </c>
      <c r="AE267" s="2" t="n">
        <v>187</v>
      </c>
      <c r="AF267" s="2" t="n">
        <v>0</v>
      </c>
      <c r="AG267" s="2" t="n">
        <v>1</v>
      </c>
      <c r="AH267" s="2" t="n">
        <v>3.46269</v>
      </c>
      <c r="AI267" s="2" t="n">
        <v>52</v>
      </c>
      <c r="AJ267" s="2" t="n">
        <f aca="false">IF(V267="Optimal", 1, 0)</f>
        <v>0</v>
      </c>
      <c r="AK267" s="29" t="b">
        <f aca="false">IF(AJ267=1, W267-G267)</f>
        <v>0</v>
      </c>
      <c r="AL267" s="4" t="n">
        <f aca="false">IF(AND(AH267&lt;&gt;-1, G267&lt;&gt;"-", G267&lt;&gt;"."), ((G267-AH267)/G267)*100, -1)</f>
        <v>80.7628333333333</v>
      </c>
      <c r="AN267" s="5" t="n">
        <f aca="false">IF(AND(AO267=C267, A267=AP267), 1, 0)</f>
        <v>1</v>
      </c>
      <c r="AO267" s="5" t="s">
        <v>147</v>
      </c>
      <c r="AP267" s="5" t="n">
        <v>15</v>
      </c>
      <c r="AQ267" s="5" t="n">
        <v>3600</v>
      </c>
      <c r="AR267" s="5" t="n">
        <v>185</v>
      </c>
      <c r="AS267" s="5" t="n">
        <v>3946</v>
      </c>
      <c r="AT267" s="28" t="n">
        <v>3600.02</v>
      </c>
      <c r="AU267" s="28" t="s">
        <v>54</v>
      </c>
      <c r="AV267" s="28" t="n">
        <v>183.522</v>
      </c>
      <c r="AW267" s="28" t="n">
        <v>166</v>
      </c>
      <c r="AX267" s="28" t="n">
        <v>19</v>
      </c>
      <c r="AY267" s="28" t="n">
        <v>2775</v>
      </c>
      <c r="AZ267" s="28" t="n">
        <v>59630</v>
      </c>
      <c r="BA267" s="28" t="n">
        <v>67</v>
      </c>
      <c r="BB267" s="6" t="n">
        <f aca="false">IF(AU267="Optimal", 1, 0)</f>
        <v>0</v>
      </c>
    </row>
    <row r="268" customFormat="false" ht="12.8" hidden="false" customHeight="false" outlineLevel="0" collapsed="false">
      <c r="A268" s="1" t="n">
        <v>15</v>
      </c>
      <c r="B268" s="23" t="s">
        <v>49</v>
      </c>
      <c r="C268" s="24" t="s">
        <v>148</v>
      </c>
      <c r="D268" s="32" t="n">
        <v>186</v>
      </c>
      <c r="E268" s="32" t="n">
        <v>3973</v>
      </c>
      <c r="F268" s="32" t="n">
        <v>88</v>
      </c>
      <c r="G268" s="32" t="n">
        <v>18</v>
      </c>
      <c r="H268" s="3" t="n">
        <v>1</v>
      </c>
      <c r="I268" s="26" t="n">
        <v>176.49</v>
      </c>
      <c r="J268" s="26" t="n">
        <f aca="false">IF(I268="tl", 0, 1)</f>
        <v>1</v>
      </c>
      <c r="K268" s="26" t="s">
        <v>53</v>
      </c>
      <c r="L268" s="26" t="n">
        <f aca="false">IF(K268="tl", 0, 1)</f>
        <v>0</v>
      </c>
      <c r="M268" s="26" t="n">
        <v>0.16</v>
      </c>
      <c r="N268" s="26" t="n">
        <f aca="false">IF(M268="tl", 0, 1)</f>
        <v>1</v>
      </c>
      <c r="P268" s="23" t="n">
        <v>3</v>
      </c>
      <c r="Q268" s="23"/>
      <c r="R268" s="2" t="n">
        <f aca="false">IF(S268=C268, 1, 0)</f>
        <v>1</v>
      </c>
      <c r="S268" s="2" t="s">
        <v>148</v>
      </c>
      <c r="T268" s="2" t="n">
        <v>186</v>
      </c>
      <c r="U268" s="2" t="n">
        <v>3973</v>
      </c>
      <c r="V268" s="2" t="s">
        <v>54</v>
      </c>
      <c r="W268" s="2" t="n">
        <v>58</v>
      </c>
      <c r="X268" s="2" t="n">
        <v>3.37143</v>
      </c>
      <c r="Y268" s="2" t="n">
        <v>1800.12</v>
      </c>
      <c r="Z268" s="2" t="n">
        <v>220.694</v>
      </c>
      <c r="AA268" s="2" t="n">
        <v>4888</v>
      </c>
      <c r="AB268" s="2" t="n">
        <v>3</v>
      </c>
      <c r="AC268" s="2" t="n">
        <v>16078</v>
      </c>
      <c r="AD268" s="2" t="n">
        <v>27998</v>
      </c>
      <c r="AE268" s="2" t="n">
        <v>103</v>
      </c>
      <c r="AF268" s="2" t="n">
        <v>0</v>
      </c>
      <c r="AG268" s="2" t="n">
        <v>1</v>
      </c>
      <c r="AH268" s="2" t="n">
        <v>3.37143</v>
      </c>
      <c r="AI268" s="2" t="n">
        <v>58</v>
      </c>
      <c r="AJ268" s="2" t="n">
        <f aca="false">IF(V268="Optimal", 1, 0)</f>
        <v>0</v>
      </c>
      <c r="AK268" s="29" t="b">
        <f aca="false">IF(AJ268=1, W268-G268)</f>
        <v>0</v>
      </c>
      <c r="AL268" s="4" t="n">
        <f aca="false">IF(AND(AH268&lt;&gt;-1, G268&lt;&gt;"-", G268&lt;&gt;"."), ((G268-AH268)/G268)*100, -1)</f>
        <v>81.2698333333333</v>
      </c>
      <c r="AN268" s="5" t="n">
        <f aca="false">IF(AND(AO268=C268, A268=AP268), 1, 0)</f>
        <v>1</v>
      </c>
      <c r="AO268" s="5" t="s">
        <v>148</v>
      </c>
      <c r="AP268" s="5" t="n">
        <v>15</v>
      </c>
      <c r="AQ268" s="5" t="n">
        <v>3600</v>
      </c>
      <c r="AR268" s="5" t="n">
        <v>186</v>
      </c>
      <c r="AS268" s="5" t="n">
        <v>3973</v>
      </c>
      <c r="AT268" s="28" t="n">
        <v>3600.01</v>
      </c>
      <c r="AU268" s="28" t="s">
        <v>54</v>
      </c>
      <c r="AV268" s="28" t="n">
        <v>184.977</v>
      </c>
      <c r="AW268" s="28" t="n">
        <v>167</v>
      </c>
      <c r="AX268" s="28" t="n">
        <v>19</v>
      </c>
      <c r="AY268" s="28" t="n">
        <v>2790</v>
      </c>
      <c r="AZ268" s="28" t="n">
        <v>59823</v>
      </c>
      <c r="BA268" s="28" t="n">
        <v>29</v>
      </c>
      <c r="BB268" s="6" t="n">
        <f aca="false">IF(AU268="Optimal", 1, 0)</f>
        <v>0</v>
      </c>
    </row>
    <row r="269" customFormat="false" ht="12.8" hidden="false" customHeight="false" outlineLevel="0" collapsed="false">
      <c r="A269" s="1" t="n">
        <v>15</v>
      </c>
      <c r="B269" s="23" t="s">
        <v>49</v>
      </c>
      <c r="C269" s="24" t="s">
        <v>151</v>
      </c>
      <c r="D269" s="32" t="n">
        <v>47</v>
      </c>
      <c r="E269" s="32" t="n">
        <v>236</v>
      </c>
      <c r="F269" s="32" t="n">
        <v>23</v>
      </c>
      <c r="G269" s="32" t="n">
        <v>18</v>
      </c>
      <c r="H269" s="3" t="n">
        <v>1</v>
      </c>
      <c r="I269" s="26" t="n">
        <v>222.53</v>
      </c>
      <c r="J269" s="26" t="n">
        <f aca="false">IF(I269="tl", 0, 1)</f>
        <v>1</v>
      </c>
      <c r="K269" s="26" t="n">
        <v>90.83</v>
      </c>
      <c r="L269" s="26" t="n">
        <f aca="false">IF(K269="tl", 0, 1)</f>
        <v>1</v>
      </c>
      <c r="M269" s="26" t="n">
        <v>0.41</v>
      </c>
      <c r="N269" s="26" t="n">
        <f aca="false">IF(M269="tl", 0, 1)</f>
        <v>1</v>
      </c>
      <c r="P269" s="23" t="n">
        <v>3</v>
      </c>
      <c r="Q269" s="23"/>
      <c r="R269" s="2" t="n">
        <f aca="false">IF(S269=C269, 1, 0)</f>
        <v>1</v>
      </c>
      <c r="S269" s="2" t="s">
        <v>151</v>
      </c>
      <c r="T269" s="2" t="n">
        <v>47</v>
      </c>
      <c r="U269" s="2" t="n">
        <v>236</v>
      </c>
      <c r="V269" s="2" t="s">
        <v>51</v>
      </c>
      <c r="W269" s="2" t="n">
        <v>18</v>
      </c>
      <c r="X269" s="2" t="n">
        <v>18</v>
      </c>
      <c r="Y269" s="2" t="n">
        <v>5.67913</v>
      </c>
      <c r="Z269" s="2" t="n">
        <v>3.1089</v>
      </c>
      <c r="AA269" s="2" t="n">
        <v>505</v>
      </c>
      <c r="AB269" s="2" t="n">
        <v>27</v>
      </c>
      <c r="AC269" s="2" t="n">
        <v>991</v>
      </c>
      <c r="AD269" s="2" t="n">
        <v>1700</v>
      </c>
      <c r="AE269" s="2" t="n">
        <v>6</v>
      </c>
      <c r="AF269" s="2" t="n">
        <v>0</v>
      </c>
      <c r="AG269" s="2" t="n">
        <v>14</v>
      </c>
      <c r="AH269" s="2" t="n">
        <v>14.6222</v>
      </c>
      <c r="AI269" s="2" t="n">
        <v>27</v>
      </c>
      <c r="AJ269" s="2" t="n">
        <f aca="false">IF(V269="Optimal", 1, 0)</f>
        <v>1</v>
      </c>
      <c r="AK269" s="3" t="n">
        <f aca="false">IF(AJ269=1, W269-G269)</f>
        <v>0</v>
      </c>
      <c r="AL269" s="4" t="n">
        <f aca="false">IF(AND(AH269&lt;&gt;-1, G269&lt;&gt;"-", G269&lt;&gt;"."), ((G269-AH269)/G269)*100, -1)</f>
        <v>18.7655555555556</v>
      </c>
      <c r="AN269" s="5" t="n">
        <f aca="false">IF(AND(AO269=C269, A269=AP269), 1, 0)</f>
        <v>1</v>
      </c>
      <c r="AO269" s="5" t="s">
        <v>151</v>
      </c>
      <c r="AP269" s="5" t="n">
        <v>15</v>
      </c>
      <c r="AQ269" s="5" t="n">
        <v>3600</v>
      </c>
      <c r="AR269" s="5" t="n">
        <v>47</v>
      </c>
      <c r="AS269" s="5" t="n">
        <v>236</v>
      </c>
      <c r="AT269" s="28" t="n">
        <v>66.3994</v>
      </c>
      <c r="AU269" s="28" t="s">
        <v>51</v>
      </c>
      <c r="AV269" s="28" t="n">
        <v>29</v>
      </c>
      <c r="AW269" s="28" t="n">
        <v>29</v>
      </c>
      <c r="AX269" s="28" t="n">
        <v>18</v>
      </c>
      <c r="AY269" s="28" t="n">
        <v>463</v>
      </c>
      <c r="AZ269" s="28" t="n">
        <v>1193</v>
      </c>
      <c r="BA269" s="28" t="n">
        <v>733</v>
      </c>
      <c r="BB269" s="6" t="n">
        <f aca="false">IF(AU269="Optimal", 1, 0)</f>
        <v>1</v>
      </c>
    </row>
    <row r="270" customFormat="false" ht="12.8" hidden="false" customHeight="false" outlineLevel="0" collapsed="false">
      <c r="A270" s="1" t="n">
        <v>15</v>
      </c>
      <c r="B270" s="23" t="s">
        <v>49</v>
      </c>
      <c r="C270" s="24" t="s">
        <v>152</v>
      </c>
      <c r="D270" s="32" t="n">
        <v>95</v>
      </c>
      <c r="E270" s="32" t="n">
        <v>755</v>
      </c>
      <c r="F270" s="32" t="n">
        <v>47</v>
      </c>
      <c r="G270" s="32" t="n">
        <v>19</v>
      </c>
      <c r="H270" s="3" t="n">
        <v>1</v>
      </c>
      <c r="I270" s="26" t="s">
        <v>53</v>
      </c>
      <c r="J270" s="26" t="n">
        <f aca="false">IF(I270="tl", 0, 1)</f>
        <v>0</v>
      </c>
      <c r="K270" s="26" t="s">
        <v>53</v>
      </c>
      <c r="L270" s="26" t="n">
        <f aca="false">IF(K270="tl", 0, 1)</f>
        <v>0</v>
      </c>
      <c r="M270" s="26" t="n">
        <v>16.34</v>
      </c>
      <c r="N270" s="26" t="n">
        <f aca="false">IF(M270="tl", 0, 1)</f>
        <v>1</v>
      </c>
      <c r="P270" s="23" t="n">
        <v>0</v>
      </c>
      <c r="Q270" s="23"/>
      <c r="R270" s="2" t="n">
        <f aca="false">IF(S270=C270, 1, 0)</f>
        <v>1</v>
      </c>
      <c r="S270" s="2" t="s">
        <v>152</v>
      </c>
      <c r="T270" s="2" t="n">
        <v>95</v>
      </c>
      <c r="U270" s="2" t="n">
        <v>755</v>
      </c>
      <c r="V270" s="2" t="s">
        <v>54</v>
      </c>
      <c r="W270" s="2" t="n">
        <v>49</v>
      </c>
      <c r="X270" s="2" t="n">
        <v>15.3043</v>
      </c>
      <c r="Y270" s="2" t="n">
        <v>1800.06</v>
      </c>
      <c r="Z270" s="2" t="n">
        <v>334.374</v>
      </c>
      <c r="AA270" s="2" t="n">
        <v>15205</v>
      </c>
      <c r="AB270" s="2" t="n">
        <v>13</v>
      </c>
      <c r="AC270" s="2" t="n">
        <v>3115</v>
      </c>
      <c r="AD270" s="2" t="n">
        <v>5381</v>
      </c>
      <c r="AE270" s="2" t="n">
        <v>17</v>
      </c>
      <c r="AF270" s="2" t="n">
        <v>0</v>
      </c>
      <c r="AG270" s="2" t="n">
        <v>9</v>
      </c>
      <c r="AH270" s="2" t="n">
        <v>14.3011</v>
      </c>
      <c r="AI270" s="2" t="n">
        <v>49</v>
      </c>
      <c r="AJ270" s="2" t="n">
        <f aca="false">IF(V270="Optimal", 1, 0)</f>
        <v>0</v>
      </c>
      <c r="AK270" s="29" t="b">
        <f aca="false">IF(AJ270=1, W270-G270)</f>
        <v>0</v>
      </c>
      <c r="AL270" s="4" t="n">
        <f aca="false">IF(AND(AH270&lt;&gt;-1, G270&lt;&gt;"-", G270&lt;&gt;"."), ((G270-AH270)/G270)*100, -1)</f>
        <v>24.7310526315789</v>
      </c>
      <c r="AN270" s="5" t="n">
        <f aca="false">IF(AND(AO270=C270, A270=AP270), 1, 0)</f>
        <v>1</v>
      </c>
      <c r="AO270" s="5" t="s">
        <v>152</v>
      </c>
      <c r="AP270" s="5" t="n">
        <v>15</v>
      </c>
      <c r="AQ270" s="5" t="n">
        <v>3600</v>
      </c>
      <c r="AR270" s="5" t="n">
        <v>95</v>
      </c>
      <c r="AS270" s="5" t="n">
        <v>755</v>
      </c>
      <c r="AT270" s="28" t="n">
        <v>3600</v>
      </c>
      <c r="AU270" s="28" t="s">
        <v>54</v>
      </c>
      <c r="AV270" s="28" t="n">
        <v>83.2259</v>
      </c>
      <c r="AW270" s="28" t="n">
        <v>76</v>
      </c>
      <c r="AX270" s="28" t="n">
        <v>19</v>
      </c>
      <c r="AY270" s="28" t="n">
        <v>1206</v>
      </c>
      <c r="AZ270" s="28" t="n">
        <v>7131</v>
      </c>
      <c r="BA270" s="28" t="n">
        <v>539</v>
      </c>
      <c r="BB270" s="6" t="n">
        <f aca="false">IF(AU270="Optimal", 1, 0)</f>
        <v>0</v>
      </c>
    </row>
    <row r="271" customFormat="false" ht="12.8" hidden="false" customHeight="false" outlineLevel="0" collapsed="false">
      <c r="A271" s="1" t="n">
        <v>15</v>
      </c>
      <c r="B271" s="23" t="s">
        <v>49</v>
      </c>
      <c r="C271" s="24" t="s">
        <v>153</v>
      </c>
      <c r="D271" s="32" t="n">
        <v>191</v>
      </c>
      <c r="E271" s="32" t="n">
        <v>2360</v>
      </c>
      <c r="F271" s="32" t="n">
        <v>95</v>
      </c>
      <c r="G271" s="32" t="n">
        <v>20</v>
      </c>
      <c r="H271" s="3" t="n">
        <v>1</v>
      </c>
      <c r="I271" s="26" t="s">
        <v>53</v>
      </c>
      <c r="J271" s="26" t="n">
        <f aca="false">IF(I271="tl", 0, 1)</f>
        <v>0</v>
      </c>
      <c r="K271" s="26" t="s">
        <v>53</v>
      </c>
      <c r="L271" s="26" t="n">
        <f aca="false">IF(K271="tl", 0, 1)</f>
        <v>0</v>
      </c>
      <c r="M271" s="26" t="n">
        <v>1416.07</v>
      </c>
      <c r="N271" s="26" t="n">
        <f aca="false">IF(M271="tl", 0, 1)</f>
        <v>1</v>
      </c>
      <c r="P271" s="23" t="n">
        <v>0</v>
      </c>
      <c r="Q271" s="23"/>
      <c r="R271" s="2" t="n">
        <f aca="false">IF(S271=C271, 1, 0)</f>
        <v>1</v>
      </c>
      <c r="S271" s="2" t="s">
        <v>153</v>
      </c>
      <c r="T271" s="2" t="n">
        <v>191</v>
      </c>
      <c r="U271" s="2" t="n">
        <v>2360</v>
      </c>
      <c r="V271" s="2" t="s">
        <v>54</v>
      </c>
      <c r="W271" s="2" t="n">
        <v>100</v>
      </c>
      <c r="X271" s="2" t="n">
        <v>15.1489</v>
      </c>
      <c r="Y271" s="2" t="n">
        <v>1800.05</v>
      </c>
      <c r="Z271" s="2" t="n">
        <v>145.286</v>
      </c>
      <c r="AA271" s="2" t="n">
        <v>10217</v>
      </c>
      <c r="AB271" s="2" t="n">
        <v>4</v>
      </c>
      <c r="AC271" s="2" t="n">
        <v>9631</v>
      </c>
      <c r="AD271" s="2" t="n">
        <v>16712</v>
      </c>
      <c r="AE271" s="2" t="n">
        <v>41</v>
      </c>
      <c r="AF271" s="2" t="n">
        <v>0</v>
      </c>
      <c r="AG271" s="2" t="n">
        <v>2</v>
      </c>
      <c r="AH271" s="2" t="n">
        <v>14.1481</v>
      </c>
      <c r="AI271" s="2" t="n">
        <v>100</v>
      </c>
      <c r="AJ271" s="2" t="n">
        <f aca="false">IF(V271="Optimal", 1, 0)</f>
        <v>0</v>
      </c>
      <c r="AK271" s="29" t="b">
        <f aca="false">IF(AJ271=1, W271-G271)</f>
        <v>0</v>
      </c>
      <c r="AL271" s="4" t="n">
        <f aca="false">IF(AND(AH271&lt;&gt;-1, G271&lt;&gt;"-", G271&lt;&gt;"."), ((G271-AH271)/G271)*100, -1)</f>
        <v>29.2595</v>
      </c>
      <c r="AN271" s="5" t="n">
        <f aca="false">IF(AND(AO271=C271, A271=AP271), 1, 0)</f>
        <v>1</v>
      </c>
      <c r="AO271" s="5" t="s">
        <v>153</v>
      </c>
      <c r="AP271" s="5" t="n">
        <v>15</v>
      </c>
      <c r="AQ271" s="5" t="n">
        <v>3600</v>
      </c>
      <c r="AR271" s="5" t="n">
        <v>191</v>
      </c>
      <c r="AS271" s="5" t="n">
        <v>2360</v>
      </c>
      <c r="AT271" s="28" t="n">
        <v>3600</v>
      </c>
      <c r="AU271" s="28" t="s">
        <v>54</v>
      </c>
      <c r="AV271" s="28" t="n">
        <v>185.376</v>
      </c>
      <c r="AW271" s="28" t="n">
        <v>168</v>
      </c>
      <c r="AX271" s="28" t="n">
        <v>23</v>
      </c>
      <c r="AY271" s="28" t="n">
        <v>2665</v>
      </c>
      <c r="AZ271" s="28" t="n">
        <v>27899</v>
      </c>
      <c r="BA271" s="28" t="n">
        <v>242</v>
      </c>
      <c r="BB271" s="6" t="n">
        <f aca="false">IF(AU271="Optimal", 1, 0)</f>
        <v>0</v>
      </c>
    </row>
    <row r="272" customFormat="false" ht="12.8" hidden="false" customHeight="false" outlineLevel="0" collapsed="false">
      <c r="A272" s="1" t="n">
        <v>15</v>
      </c>
      <c r="B272" s="23" t="s">
        <v>64</v>
      </c>
      <c r="C272" s="24" t="s">
        <v>154</v>
      </c>
      <c r="D272" s="32" t="n">
        <v>105</v>
      </c>
      <c r="E272" s="32" t="n">
        <v>441</v>
      </c>
      <c r="F272" s="32" t="n">
        <v>43</v>
      </c>
      <c r="G272" s="32" t="n">
        <v>19</v>
      </c>
      <c r="H272" s="3" t="n">
        <v>1</v>
      </c>
      <c r="I272" s="26" t="s">
        <v>53</v>
      </c>
      <c r="J272" s="26" t="n">
        <f aca="false">IF(I272="tl", 0, 1)</f>
        <v>0</v>
      </c>
      <c r="K272" s="26" t="n">
        <v>50.71</v>
      </c>
      <c r="L272" s="26" t="n">
        <f aca="false">IF(K272="tl", 0, 1)</f>
        <v>1</v>
      </c>
      <c r="M272" s="26" t="n">
        <v>237.7</v>
      </c>
      <c r="N272" s="26" t="n">
        <f aca="false">IF(M272="tl", 0, 1)</f>
        <v>1</v>
      </c>
      <c r="P272" s="23" t="n">
        <v>0</v>
      </c>
      <c r="Q272" s="23"/>
      <c r="R272" s="2" t="n">
        <f aca="false">IF(S272=C272, 1, 0)</f>
        <v>1</v>
      </c>
      <c r="S272" s="2" t="s">
        <v>154</v>
      </c>
      <c r="T272" s="2" t="n">
        <v>105</v>
      </c>
      <c r="U272" s="2" t="n">
        <v>441</v>
      </c>
      <c r="V272" s="2" t="s">
        <v>51</v>
      </c>
      <c r="W272" s="2" t="n">
        <v>19</v>
      </c>
      <c r="X272" s="2" t="n">
        <v>19</v>
      </c>
      <c r="Y272" s="2" t="n">
        <v>1060.71</v>
      </c>
      <c r="Z272" s="2" t="n">
        <v>491.468</v>
      </c>
      <c r="AA272" s="2" t="n">
        <v>7700</v>
      </c>
      <c r="AB272" s="2" t="n">
        <v>16</v>
      </c>
      <c r="AC272" s="2" t="n">
        <v>1869</v>
      </c>
      <c r="AD272" s="2" t="n">
        <v>3193</v>
      </c>
      <c r="AE272" s="2" t="n">
        <v>23</v>
      </c>
      <c r="AF272" s="2" t="n">
        <v>0</v>
      </c>
      <c r="AG272" s="2" t="n">
        <v>4</v>
      </c>
      <c r="AH272" s="2" t="n">
        <v>14.2718</v>
      </c>
      <c r="AI272" s="2" t="n">
        <v>41</v>
      </c>
      <c r="AJ272" s="2" t="n">
        <f aca="false">IF(V272="Optimal", 1, 0)</f>
        <v>1</v>
      </c>
      <c r="AK272" s="3" t="n">
        <f aca="false">IF(AJ272=1, W272-G272)</f>
        <v>0</v>
      </c>
      <c r="AL272" s="4" t="n">
        <f aca="false">IF(AND(AH272&lt;&gt;-1, G272&lt;&gt;"-", G272&lt;&gt;"."), ((G272-AH272)/G272)*100, -1)</f>
        <v>24.8852631578947</v>
      </c>
      <c r="AN272" s="5" t="n">
        <f aca="false">IF(AND(AO272=C272, A272=AP272), 1, 0)</f>
        <v>1</v>
      </c>
      <c r="AO272" s="5" t="s">
        <v>154</v>
      </c>
      <c r="AP272" s="5" t="n">
        <v>15</v>
      </c>
      <c r="AQ272" s="5" t="n">
        <v>3600</v>
      </c>
      <c r="AR272" s="5" t="n">
        <v>105</v>
      </c>
      <c r="AS272" s="5" t="n">
        <v>441</v>
      </c>
      <c r="AT272" s="28" t="n">
        <v>3600</v>
      </c>
      <c r="AU272" s="28" t="s">
        <v>54</v>
      </c>
      <c r="AV272" s="28" t="n">
        <v>98.3735</v>
      </c>
      <c r="AW272" s="28" t="n">
        <v>81</v>
      </c>
      <c r="AX272" s="28" t="n">
        <v>24</v>
      </c>
      <c r="AY272" s="28" t="n">
        <v>1441</v>
      </c>
      <c r="AZ272" s="28" t="n">
        <v>6934</v>
      </c>
      <c r="BA272" s="28" t="n">
        <v>5523</v>
      </c>
      <c r="BB272" s="6" t="n">
        <f aca="false">IF(AU272="Optimal", 1, 0)</f>
        <v>0</v>
      </c>
    </row>
    <row r="273" customFormat="false" ht="12.8" hidden="false" customHeight="false" outlineLevel="0" collapsed="false">
      <c r="A273" s="1" t="n">
        <v>15</v>
      </c>
      <c r="B273" s="23" t="s">
        <v>49</v>
      </c>
      <c r="C273" s="24" t="s">
        <v>167</v>
      </c>
      <c r="D273" s="32" t="n">
        <v>125</v>
      </c>
      <c r="E273" s="32" t="n">
        <v>209</v>
      </c>
      <c r="F273" s="32" t="n">
        <v>49</v>
      </c>
      <c r="G273" s="32" t="n">
        <v>1</v>
      </c>
      <c r="H273" s="3" t="n">
        <v>1</v>
      </c>
      <c r="I273" s="26" t="n">
        <v>203.76</v>
      </c>
      <c r="J273" s="26" t="n">
        <f aca="false">IF(I273="tl", 0, 1)</f>
        <v>1</v>
      </c>
      <c r="K273" s="26" t="n">
        <v>30.7</v>
      </c>
      <c r="L273" s="26" t="n">
        <f aca="false">IF(K273="tl", 0, 1)</f>
        <v>1</v>
      </c>
      <c r="M273" s="26" t="n">
        <v>0</v>
      </c>
      <c r="N273" s="26" t="n">
        <f aca="false">IF(M273="tl", 0, 1)</f>
        <v>1</v>
      </c>
      <c r="P273" s="23" t="n">
        <v>0</v>
      </c>
      <c r="Q273" s="23"/>
      <c r="R273" s="2" t="n">
        <f aca="false">IF(S273=C273, 1, 0)</f>
        <v>1</v>
      </c>
      <c r="S273" s="2" t="s">
        <v>167</v>
      </c>
      <c r="T273" s="2" t="n">
        <v>125</v>
      </c>
      <c r="U273" s="2" t="n">
        <v>209</v>
      </c>
      <c r="V273" s="2" t="s">
        <v>51</v>
      </c>
      <c r="W273" s="2" t="n">
        <v>1</v>
      </c>
      <c r="X273" s="2" t="n">
        <v>1</v>
      </c>
      <c r="Y273" s="2" t="n">
        <v>1.14279</v>
      </c>
      <c r="Z273" s="2" t="n">
        <v>0.605532</v>
      </c>
      <c r="AA273" s="2" t="n">
        <v>453</v>
      </c>
      <c r="AB273" s="2" t="n">
        <v>1</v>
      </c>
      <c r="AC273" s="2" t="n">
        <v>961</v>
      </c>
      <c r="AD273" s="2" t="n">
        <v>1589</v>
      </c>
      <c r="AE273" s="2" t="n">
        <v>119</v>
      </c>
      <c r="AF273" s="2" t="n">
        <v>0</v>
      </c>
      <c r="AG273" s="2" t="n">
        <v>0</v>
      </c>
      <c r="AH273" s="2" t="n">
        <v>-1</v>
      </c>
      <c r="AI273" s="2" t="n">
        <v>-1</v>
      </c>
      <c r="AJ273" s="2" t="n">
        <f aca="false">IF(V273="Optimal", 1, 0)</f>
        <v>1</v>
      </c>
      <c r="AK273" s="3" t="n">
        <f aca="false">IF(AJ273=1, W273-G273)</f>
        <v>0</v>
      </c>
      <c r="AL273" s="4" t="n">
        <f aca="false">IF(AND(AH273&lt;&gt;-1, G273&lt;&gt;"-", G273&lt;&gt;"."), ((G273-AH273)/G273)*100, -1)</f>
        <v>-1</v>
      </c>
      <c r="AN273" s="5" t="n">
        <f aca="false">IF(AND(AO273=C273, A273=AP273), 1, 0)</f>
        <v>1</v>
      </c>
      <c r="AO273" s="5" t="s">
        <v>167</v>
      </c>
      <c r="AP273" s="5" t="n">
        <v>15</v>
      </c>
      <c r="AQ273" s="5" t="n">
        <v>3600</v>
      </c>
      <c r="AR273" s="5" t="n">
        <v>125</v>
      </c>
      <c r="AS273" s="5" t="n">
        <v>209</v>
      </c>
      <c r="AT273" s="28" t="n">
        <v>2377.59</v>
      </c>
      <c r="AU273" s="28" t="s">
        <v>51</v>
      </c>
      <c r="AV273" s="28" t="n">
        <v>124</v>
      </c>
      <c r="AW273" s="28" t="n">
        <v>124</v>
      </c>
      <c r="AX273" s="28" t="n">
        <v>1</v>
      </c>
      <c r="AY273" s="28" t="n">
        <v>1768</v>
      </c>
      <c r="AZ273" s="28" t="n">
        <v>3063</v>
      </c>
      <c r="BA273" s="28" t="n">
        <v>4877</v>
      </c>
      <c r="BB273" s="6" t="n">
        <f aca="false">IF(AU273="Optimal", 1, 0)</f>
        <v>1</v>
      </c>
    </row>
    <row r="274" customFormat="false" ht="12.8" hidden="false" customHeight="false" outlineLevel="0" collapsed="false">
      <c r="A274" s="1" t="n">
        <v>15</v>
      </c>
      <c r="B274" s="23" t="s">
        <v>67</v>
      </c>
      <c r="C274" s="24" t="s">
        <v>170</v>
      </c>
      <c r="D274" s="32" t="n">
        <v>136</v>
      </c>
      <c r="E274" s="32" t="n">
        <v>641</v>
      </c>
      <c r="F274" s="32" t="n">
        <v>39</v>
      </c>
      <c r="G274" s="32" t="s">
        <v>77</v>
      </c>
      <c r="H274" s="3" t="n">
        <v>0</v>
      </c>
      <c r="I274" s="25" t="s">
        <v>53</v>
      </c>
      <c r="J274" s="26" t="n">
        <f aca="false">IF(I274="tl", 0, 1)</f>
        <v>0</v>
      </c>
      <c r="K274" s="25" t="s">
        <v>53</v>
      </c>
      <c r="L274" s="26" t="n">
        <f aca="false">IF(K274="tl", 0, 1)</f>
        <v>0</v>
      </c>
      <c r="M274" s="25" t="s">
        <v>53</v>
      </c>
      <c r="N274" s="26" t="n">
        <f aca="false">IF(M274="tl", 0, 1)</f>
        <v>0</v>
      </c>
      <c r="P274" s="23" t="n">
        <v>0</v>
      </c>
      <c r="Q274" s="23"/>
      <c r="R274" s="2" t="n">
        <f aca="false">IF(S274=C274, 1, 0)</f>
        <v>1</v>
      </c>
      <c r="S274" s="2" t="s">
        <v>170</v>
      </c>
      <c r="T274" s="2" t="n">
        <v>136</v>
      </c>
      <c r="U274" s="2" t="n">
        <v>641</v>
      </c>
      <c r="V274" s="2" t="s">
        <v>54</v>
      </c>
      <c r="W274" s="2" t="n">
        <v>81</v>
      </c>
      <c r="X274" s="2" t="n">
        <v>17</v>
      </c>
      <c r="Y274" s="2" t="n">
        <v>1800.25</v>
      </c>
      <c r="Z274" s="2" t="n">
        <v>1316.88</v>
      </c>
      <c r="AA274" s="2" t="n">
        <v>9945</v>
      </c>
      <c r="AB274" s="2" t="n">
        <v>62</v>
      </c>
      <c r="AC274" s="2" t="n">
        <v>2700</v>
      </c>
      <c r="AD274" s="2" t="n">
        <v>4624</v>
      </c>
      <c r="AE274" s="2" t="n">
        <v>6</v>
      </c>
      <c r="AF274" s="2" t="n">
        <v>0</v>
      </c>
      <c r="AG274" s="2" t="n">
        <v>14</v>
      </c>
      <c r="AH274" s="2" t="n">
        <v>14</v>
      </c>
      <c r="AI274" s="2" t="n">
        <v>94</v>
      </c>
      <c r="AJ274" s="2" t="n">
        <f aca="false">IF(V274="Optimal", 1, 0)</f>
        <v>0</v>
      </c>
      <c r="AK274" s="29" t="b">
        <f aca="false">IF(AJ274=1, W274-G274)</f>
        <v>0</v>
      </c>
      <c r="AL274" s="4" t="n">
        <f aca="false">IF(AND(AH274&lt;&gt;-1, G274&lt;&gt;"-", G274&lt;&gt;"."), ((G274-AH274)/G274)*100, -1)</f>
        <v>-1</v>
      </c>
      <c r="AN274" s="5" t="n">
        <f aca="false">IF(AND(AO274=C274, A274=AP274), 1, 0)</f>
        <v>1</v>
      </c>
      <c r="AO274" s="5" t="s">
        <v>170</v>
      </c>
      <c r="AP274" s="5" t="n">
        <v>15</v>
      </c>
      <c r="AQ274" s="5" t="n">
        <v>3600</v>
      </c>
      <c r="AR274" s="5" t="n">
        <v>136</v>
      </c>
      <c r="AS274" s="5" t="n">
        <v>641</v>
      </c>
      <c r="AT274" s="28" t="n">
        <v>3600</v>
      </c>
      <c r="AU274" s="28" t="s">
        <v>54</v>
      </c>
      <c r="AV274" s="28" t="n">
        <v>133.319</v>
      </c>
      <c r="AW274" s="28" t="n">
        <v>92</v>
      </c>
      <c r="AX274" s="28" t="n">
        <v>44</v>
      </c>
      <c r="AY274" s="28" t="n">
        <v>1935</v>
      </c>
      <c r="AZ274" s="28" t="n">
        <v>9855</v>
      </c>
      <c r="BA274" s="28" t="n">
        <v>395</v>
      </c>
      <c r="BB274" s="6" t="n">
        <f aca="false">IF(AU274="Optimal", 1, 0)</f>
        <v>0</v>
      </c>
    </row>
    <row r="275" customFormat="false" ht="12.8" hidden="false" customHeight="false" outlineLevel="0" collapsed="false">
      <c r="A275" s="1" t="n">
        <v>15</v>
      </c>
      <c r="B275" s="23" t="s">
        <v>67</v>
      </c>
      <c r="C275" s="24" t="s">
        <v>173</v>
      </c>
      <c r="D275" s="32" t="n">
        <v>132</v>
      </c>
      <c r="E275" s="32" t="n">
        <v>560</v>
      </c>
      <c r="F275" s="32" t="n">
        <v>39</v>
      </c>
      <c r="G275" s="32" t="n">
        <v>21</v>
      </c>
      <c r="H275" s="3" t="n">
        <v>1</v>
      </c>
      <c r="I275" s="25" t="s">
        <v>53</v>
      </c>
      <c r="J275" s="26" t="n">
        <f aca="false">IF(I275="tl", 0, 1)</f>
        <v>0</v>
      </c>
      <c r="K275" s="25" t="n">
        <v>39.58</v>
      </c>
      <c r="L275" s="26" t="n">
        <f aca="false">IF(K275="tl", 0, 1)</f>
        <v>1</v>
      </c>
      <c r="M275" s="25" t="s">
        <v>53</v>
      </c>
      <c r="N275" s="26" t="n">
        <f aca="false">IF(M275="tl", 0, 1)</f>
        <v>0</v>
      </c>
      <c r="P275" s="23" t="n">
        <v>0</v>
      </c>
      <c r="Q275" s="23"/>
      <c r="R275" s="2" t="n">
        <f aca="false">IF(S275=C275, 1, 0)</f>
        <v>1</v>
      </c>
      <c r="S275" s="2" t="s">
        <v>173</v>
      </c>
      <c r="T275" s="2" t="n">
        <v>132</v>
      </c>
      <c r="U275" s="2" t="n">
        <v>560</v>
      </c>
      <c r="V275" s="2" t="s">
        <v>54</v>
      </c>
      <c r="W275" s="2" t="n">
        <v>23</v>
      </c>
      <c r="X275" s="2" t="n">
        <v>15.625</v>
      </c>
      <c r="Y275" s="2" t="n">
        <v>1800</v>
      </c>
      <c r="Z275" s="2" t="n">
        <v>461.361</v>
      </c>
      <c r="AA275" s="2" t="n">
        <v>8518</v>
      </c>
      <c r="AB275" s="2" t="n">
        <v>81</v>
      </c>
      <c r="AC275" s="2" t="n">
        <v>2372</v>
      </c>
      <c r="AD275" s="2" t="n">
        <v>4053</v>
      </c>
      <c r="AE275" s="2" t="n">
        <v>129</v>
      </c>
      <c r="AF275" s="2" t="n">
        <v>0</v>
      </c>
      <c r="AG275" s="2" t="n">
        <v>16</v>
      </c>
      <c r="AH275" s="2" t="n">
        <v>14</v>
      </c>
      <c r="AI275" s="2" t="n">
        <v>59</v>
      </c>
      <c r="AJ275" s="2" t="n">
        <f aca="false">IF(V275="Optimal", 1, 0)</f>
        <v>0</v>
      </c>
      <c r="AK275" s="29" t="b">
        <f aca="false">IF(AJ275=1, W275-G275)</f>
        <v>0</v>
      </c>
      <c r="AL275" s="4" t="n">
        <f aca="false">IF(AND(AH275&lt;&gt;-1, G275&lt;&gt;"-", G275&lt;&gt;"."), ((G275-AH275)/G275)*100, -1)</f>
        <v>33.3333333333333</v>
      </c>
      <c r="AN275" s="5" t="n">
        <f aca="false">IF(AND(AO275=C275, A275=AP275), 1, 0)</f>
        <v>1</v>
      </c>
      <c r="AO275" s="5" t="s">
        <v>173</v>
      </c>
      <c r="AP275" s="5" t="n">
        <v>15</v>
      </c>
      <c r="AQ275" s="5" t="n">
        <v>3600</v>
      </c>
      <c r="AR275" s="5" t="n">
        <v>132</v>
      </c>
      <c r="AS275" s="5" t="n">
        <v>560</v>
      </c>
      <c r="AT275" s="28" t="n">
        <v>3600</v>
      </c>
      <c r="AU275" s="28" t="s">
        <v>54</v>
      </c>
      <c r="AV275" s="28" t="n">
        <v>129.36</v>
      </c>
      <c r="AW275" s="28" t="n">
        <v>106</v>
      </c>
      <c r="AX275" s="28" t="n">
        <v>26</v>
      </c>
      <c r="AY275" s="28" t="n">
        <v>1740</v>
      </c>
      <c r="AZ275" s="28" t="n">
        <v>9496</v>
      </c>
      <c r="BA275" s="28" t="n">
        <v>115</v>
      </c>
      <c r="BB275" s="6" t="n">
        <f aca="false">IF(AU275="Optimal", 1, 0)</f>
        <v>0</v>
      </c>
    </row>
    <row r="276" customFormat="false" ht="12.8" hidden="false" customHeight="false" outlineLevel="0" collapsed="false">
      <c r="A276" s="1" t="n">
        <v>20</v>
      </c>
      <c r="B276" s="23" t="s">
        <v>49</v>
      </c>
      <c r="C276" s="24" t="s">
        <v>52</v>
      </c>
      <c r="D276" s="32" t="n">
        <v>93</v>
      </c>
      <c r="E276" s="32" t="n">
        <v>593</v>
      </c>
      <c r="F276" s="32" t="n">
        <v>45</v>
      </c>
      <c r="G276" s="32" t="n">
        <v>22</v>
      </c>
      <c r="H276" s="3" t="n">
        <v>1</v>
      </c>
      <c r="I276" s="26" t="s">
        <v>53</v>
      </c>
      <c r="J276" s="26" t="n">
        <f aca="false">IF(I276="tl", 0, 1)</f>
        <v>0</v>
      </c>
      <c r="K276" s="26" t="s">
        <v>53</v>
      </c>
      <c r="L276" s="26" t="n">
        <f aca="false">IF(K276="tl", 0, 1)</f>
        <v>0</v>
      </c>
      <c r="M276" s="26" t="n">
        <v>5.78</v>
      </c>
      <c r="N276" s="26" t="n">
        <f aca="false">IF(M276="tl", 0, 1)</f>
        <v>1</v>
      </c>
      <c r="P276" s="23" t="n">
        <v>0</v>
      </c>
      <c r="Q276" s="23"/>
      <c r="R276" s="2" t="n">
        <f aca="false">IF(S276=C276, 1, 0)</f>
        <v>1</v>
      </c>
      <c r="S276" s="2" t="s">
        <v>52</v>
      </c>
      <c r="T276" s="2" t="n">
        <v>93</v>
      </c>
      <c r="U276" s="2" t="n">
        <v>593</v>
      </c>
      <c r="V276" s="2" t="s">
        <v>54</v>
      </c>
      <c r="W276" s="2" t="n">
        <v>39</v>
      </c>
      <c r="X276" s="2" t="n">
        <v>19.4176</v>
      </c>
      <c r="Y276" s="2" t="n">
        <v>1800.02</v>
      </c>
      <c r="Z276" s="2" t="n">
        <v>293.316</v>
      </c>
      <c r="AA276" s="2" t="n">
        <v>20727</v>
      </c>
      <c r="AB276" s="2" t="n">
        <v>3</v>
      </c>
      <c r="AC276" s="2" t="n">
        <v>2465</v>
      </c>
      <c r="AD276" s="2" t="n">
        <v>4245</v>
      </c>
      <c r="AE276" s="2" t="n">
        <v>9</v>
      </c>
      <c r="AF276" s="2" t="n">
        <v>0</v>
      </c>
      <c r="AG276" s="2" t="n">
        <v>1</v>
      </c>
      <c r="AH276" s="2" t="n">
        <v>19.4176</v>
      </c>
      <c r="AI276" s="2" t="n">
        <v>39</v>
      </c>
      <c r="AJ276" s="2" t="n">
        <f aca="false">IF(V276="Optimal", 1, 0)</f>
        <v>0</v>
      </c>
      <c r="AK276" s="29" t="b">
        <f aca="false">IF(AJ276=1, W276-G276)</f>
        <v>0</v>
      </c>
      <c r="AL276" s="4" t="n">
        <f aca="false">IF(AND(AH276&lt;&gt;-1, G276&lt;&gt;"-", G276&lt;&gt;"."), ((G276-AH276)/G276)*100, -1)</f>
        <v>11.7381818181818</v>
      </c>
      <c r="AN276" s="5" t="n">
        <f aca="false">IF(AND(AO276=C276, A276=AP276), 1, 0)</f>
        <v>1</v>
      </c>
      <c r="AO276" s="5" t="s">
        <v>52</v>
      </c>
      <c r="AP276" s="5" t="n">
        <v>20</v>
      </c>
      <c r="AQ276" s="5" t="n">
        <v>3600</v>
      </c>
      <c r="AR276" s="5" t="n">
        <v>93</v>
      </c>
      <c r="AS276" s="5" t="n">
        <v>593</v>
      </c>
      <c r="AT276" s="28" t="n">
        <v>3600</v>
      </c>
      <c r="AU276" s="28" t="s">
        <v>54</v>
      </c>
      <c r="AV276" s="28" t="n">
        <v>85.0913</v>
      </c>
      <c r="AW276" s="28" t="n">
        <v>61</v>
      </c>
      <c r="AX276" s="28" t="n">
        <v>32</v>
      </c>
      <c r="AY276" s="28" t="n">
        <v>1488</v>
      </c>
      <c r="AZ276" s="28" t="n">
        <v>10141</v>
      </c>
      <c r="BA276" s="28" t="n">
        <v>897</v>
      </c>
      <c r="BB276" s="6" t="n">
        <f aca="false">IF(AU276="Optimal", 1, 0)</f>
        <v>0</v>
      </c>
    </row>
    <row r="277" customFormat="false" ht="12.8" hidden="false" customHeight="false" outlineLevel="0" collapsed="false">
      <c r="A277" s="1" t="n">
        <v>20</v>
      </c>
      <c r="B277" s="23" t="s">
        <v>49</v>
      </c>
      <c r="C277" s="24" t="s">
        <v>55</v>
      </c>
      <c r="D277" s="32" t="n">
        <v>67</v>
      </c>
      <c r="E277" s="32" t="n">
        <v>232</v>
      </c>
      <c r="F277" s="32" t="n">
        <v>32</v>
      </c>
      <c r="G277" s="32" t="n">
        <v>22</v>
      </c>
      <c r="H277" s="3" t="n">
        <v>1</v>
      </c>
      <c r="I277" s="26" t="s">
        <v>53</v>
      </c>
      <c r="J277" s="26" t="n">
        <f aca="false">IF(I277="tl", 0, 1)</f>
        <v>0</v>
      </c>
      <c r="K277" s="26" t="n">
        <v>55.01</v>
      </c>
      <c r="L277" s="26" t="n">
        <f aca="false">IF(K277="tl", 0, 1)</f>
        <v>1</v>
      </c>
      <c r="M277" s="26" t="n">
        <v>4.99</v>
      </c>
      <c r="N277" s="26" t="n">
        <f aca="false">IF(M277="tl", 0, 1)</f>
        <v>1</v>
      </c>
      <c r="P277" s="23" t="n">
        <v>0</v>
      </c>
      <c r="Q277" s="23"/>
      <c r="R277" s="2" t="n">
        <f aca="false">IF(S277=C277, 1, 0)</f>
        <v>1</v>
      </c>
      <c r="S277" s="2" t="s">
        <v>55</v>
      </c>
      <c r="T277" s="2" t="n">
        <v>67</v>
      </c>
      <c r="U277" s="2" t="n">
        <v>232</v>
      </c>
      <c r="V277" s="2" t="s">
        <v>51</v>
      </c>
      <c r="W277" s="2" t="n">
        <v>22</v>
      </c>
      <c r="X277" s="2" t="n">
        <v>22</v>
      </c>
      <c r="Y277" s="2" t="n">
        <v>9.30066</v>
      </c>
      <c r="Z277" s="2" t="n">
        <v>5.34861</v>
      </c>
      <c r="AA277" s="2" t="n">
        <v>666</v>
      </c>
      <c r="AB277" s="2" t="n">
        <v>32</v>
      </c>
      <c r="AC277" s="2" t="n">
        <v>995</v>
      </c>
      <c r="AD277" s="2" t="n">
        <v>1692</v>
      </c>
      <c r="AE277" s="2" t="n">
        <v>7</v>
      </c>
      <c r="AF277" s="2" t="n">
        <v>0</v>
      </c>
      <c r="AG277" s="2" t="n">
        <v>19</v>
      </c>
      <c r="AH277" s="2" t="n">
        <v>19.5846</v>
      </c>
      <c r="AI277" s="2" t="n">
        <v>30</v>
      </c>
      <c r="AJ277" s="2" t="n">
        <f aca="false">IF(V277="Optimal", 1, 0)</f>
        <v>1</v>
      </c>
      <c r="AK277" s="3" t="n">
        <f aca="false">IF(AJ277=1, W277-G277)</f>
        <v>0</v>
      </c>
      <c r="AL277" s="4" t="n">
        <f aca="false">IF(AND(AH277&lt;&gt;-1, G277&lt;&gt;"-", G277&lt;&gt;"."), ((G277-AH277)/G277)*100, -1)</f>
        <v>10.9790909090909</v>
      </c>
      <c r="AN277" s="5" t="n">
        <f aca="false">IF(AND(AO277=C277, A277=AP277), 1, 0)</f>
        <v>1</v>
      </c>
      <c r="AO277" s="5" t="s">
        <v>55</v>
      </c>
      <c r="AP277" s="5" t="n">
        <v>20</v>
      </c>
      <c r="AQ277" s="5" t="n">
        <v>3600</v>
      </c>
      <c r="AR277" s="5" t="n">
        <v>67</v>
      </c>
      <c r="AS277" s="5" t="n">
        <v>232</v>
      </c>
      <c r="AT277" s="28" t="n">
        <v>3600</v>
      </c>
      <c r="AU277" s="28" t="s">
        <v>54</v>
      </c>
      <c r="AV277" s="28" t="n">
        <v>55.7701</v>
      </c>
      <c r="AW277" s="28" t="n">
        <v>45</v>
      </c>
      <c r="AX277" s="28" t="n">
        <v>22</v>
      </c>
      <c r="AY277" s="28" t="n">
        <v>1003</v>
      </c>
      <c r="AZ277" s="28" t="n">
        <v>3934</v>
      </c>
      <c r="BA277" s="28" t="n">
        <v>3111</v>
      </c>
      <c r="BB277" s="6" t="n">
        <f aca="false">IF(AU277="Optimal", 1, 0)</f>
        <v>0</v>
      </c>
    </row>
    <row r="278" customFormat="false" ht="12.8" hidden="false" customHeight="false" outlineLevel="0" collapsed="false">
      <c r="A278" s="1" t="n">
        <v>20</v>
      </c>
      <c r="B278" s="23" t="s">
        <v>49</v>
      </c>
      <c r="C278" s="24" t="s">
        <v>56</v>
      </c>
      <c r="D278" s="32" t="n">
        <v>52</v>
      </c>
      <c r="E278" s="32" t="n">
        <v>201</v>
      </c>
      <c r="F278" s="32" t="n">
        <v>25</v>
      </c>
      <c r="G278" s="32" t="n">
        <v>23</v>
      </c>
      <c r="H278" s="3" t="n">
        <v>1</v>
      </c>
      <c r="I278" s="26" t="n">
        <v>560.95</v>
      </c>
      <c r="J278" s="26" t="n">
        <f aca="false">IF(I278="tl", 0, 1)</f>
        <v>1</v>
      </c>
      <c r="K278" s="26" t="n">
        <v>20.38</v>
      </c>
      <c r="L278" s="26" t="n">
        <f aca="false">IF(K278="tl", 0, 1)</f>
        <v>1</v>
      </c>
      <c r="M278" s="26" t="n">
        <v>0.47</v>
      </c>
      <c r="N278" s="26" t="n">
        <f aca="false">IF(M278="tl", 0, 1)</f>
        <v>1</v>
      </c>
      <c r="P278" s="23" t="n">
        <v>6</v>
      </c>
      <c r="Q278" s="23"/>
      <c r="R278" s="2" t="n">
        <f aca="false">IF(S278=C278, 1, 0)</f>
        <v>1</v>
      </c>
      <c r="S278" s="2" t="s">
        <v>56</v>
      </c>
      <c r="T278" s="2" t="n">
        <v>52</v>
      </c>
      <c r="U278" s="2" t="n">
        <v>201</v>
      </c>
      <c r="V278" s="2" t="s">
        <v>51</v>
      </c>
      <c r="W278" s="2" t="n">
        <v>23</v>
      </c>
      <c r="X278" s="2" t="n">
        <v>23</v>
      </c>
      <c r="Y278" s="2" t="n">
        <v>3.48195</v>
      </c>
      <c r="Z278" s="2" t="n">
        <v>1.93761</v>
      </c>
      <c r="AA278" s="2" t="n">
        <v>354</v>
      </c>
      <c r="AB278" s="2" t="n">
        <v>13</v>
      </c>
      <c r="AC278" s="2" t="n">
        <v>856</v>
      </c>
      <c r="AD278" s="2" t="n">
        <v>1460</v>
      </c>
      <c r="AE278" s="2" t="n">
        <v>9</v>
      </c>
      <c r="AF278" s="2" t="n">
        <v>0</v>
      </c>
      <c r="AG278" s="2" t="n">
        <v>7</v>
      </c>
      <c r="AH278" s="2" t="n">
        <v>19.76</v>
      </c>
      <c r="AI278" s="2" t="n">
        <v>32</v>
      </c>
      <c r="AJ278" s="2" t="n">
        <f aca="false">IF(V278="Optimal", 1, 0)</f>
        <v>1</v>
      </c>
      <c r="AK278" s="3" t="n">
        <f aca="false">IF(AJ278=1, W278-G278)</f>
        <v>0</v>
      </c>
      <c r="AL278" s="4" t="n">
        <f aca="false">IF(AND(AH278&lt;&gt;-1, G278&lt;&gt;"-", G278&lt;&gt;"."), ((G278-AH278)/G278)*100, -1)</f>
        <v>14.0869565217391</v>
      </c>
      <c r="AN278" s="5" t="n">
        <f aca="false">IF(AND(AO278=C278, A278=AP278), 1, 0)</f>
        <v>1</v>
      </c>
      <c r="AO278" s="5" t="s">
        <v>56</v>
      </c>
      <c r="AP278" s="5" t="n">
        <v>20</v>
      </c>
      <c r="AQ278" s="5" t="n">
        <v>3600</v>
      </c>
      <c r="AR278" s="5" t="n">
        <v>52</v>
      </c>
      <c r="AS278" s="5" t="n">
        <v>201</v>
      </c>
      <c r="AT278" s="28" t="n">
        <v>3600</v>
      </c>
      <c r="AU278" s="28" t="s">
        <v>54</v>
      </c>
      <c r="AV278" s="28" t="n">
        <v>34.7238</v>
      </c>
      <c r="AW278" s="28" t="n">
        <v>29</v>
      </c>
      <c r="AX278" s="28" t="n">
        <v>23</v>
      </c>
      <c r="AY278" s="28" t="n">
        <v>620</v>
      </c>
      <c r="AZ278" s="28" t="n">
        <v>4172</v>
      </c>
      <c r="BA278" s="28" t="n">
        <v>8755</v>
      </c>
      <c r="BB278" s="6" t="n">
        <f aca="false">IF(AU278="Optimal", 1, 0)</f>
        <v>0</v>
      </c>
    </row>
    <row r="279" customFormat="false" ht="12.8" hidden="false" customHeight="false" outlineLevel="0" collapsed="false">
      <c r="A279" s="1" t="n">
        <v>20</v>
      </c>
      <c r="B279" s="23" t="s">
        <v>49</v>
      </c>
      <c r="C279" s="24" t="s">
        <v>58</v>
      </c>
      <c r="D279" s="32" t="n">
        <v>149</v>
      </c>
      <c r="E279" s="32" t="n">
        <v>541</v>
      </c>
      <c r="F279" s="32" t="n">
        <v>74</v>
      </c>
      <c r="G279" s="32" t="n">
        <v>22</v>
      </c>
      <c r="H279" s="3" t="n">
        <v>1</v>
      </c>
      <c r="I279" s="26" t="s">
        <v>53</v>
      </c>
      <c r="J279" s="26" t="n">
        <f aca="false">IF(I279="tl", 0, 1)</f>
        <v>0</v>
      </c>
      <c r="K279" s="26" t="s">
        <v>53</v>
      </c>
      <c r="L279" s="26" t="n">
        <f aca="false">IF(K279="tl", 0, 1)</f>
        <v>0</v>
      </c>
      <c r="M279" s="26" t="n">
        <v>1159.77</v>
      </c>
      <c r="N279" s="26" t="n">
        <f aca="false">IF(M279="tl", 0, 1)</f>
        <v>1</v>
      </c>
      <c r="P279" s="23" t="n">
        <v>0</v>
      </c>
      <c r="Q279" s="23"/>
      <c r="R279" s="2" t="n">
        <f aca="false">IF(S279=C279, 1, 0)</f>
        <v>1</v>
      </c>
      <c r="S279" s="2" t="s">
        <v>58</v>
      </c>
      <c r="T279" s="2" t="n">
        <v>149</v>
      </c>
      <c r="U279" s="2" t="n">
        <v>541</v>
      </c>
      <c r="V279" s="2" t="s">
        <v>51</v>
      </c>
      <c r="W279" s="2" t="n">
        <v>22</v>
      </c>
      <c r="X279" s="2" t="n">
        <v>22</v>
      </c>
      <c r="Y279" s="2" t="n">
        <v>91.9409</v>
      </c>
      <c r="Z279" s="2" t="n">
        <v>34.6887</v>
      </c>
      <c r="AA279" s="2" t="n">
        <v>1430</v>
      </c>
      <c r="AB279" s="2" t="n">
        <v>18</v>
      </c>
      <c r="AC279" s="2" t="n">
        <v>2313</v>
      </c>
      <c r="AD279" s="2" t="n">
        <v>3937</v>
      </c>
      <c r="AE279" s="2" t="n">
        <v>7</v>
      </c>
      <c r="AF279" s="2" t="n">
        <v>0</v>
      </c>
      <c r="AG279" s="2" t="n">
        <v>10</v>
      </c>
      <c r="AH279" s="2" t="n">
        <v>19.2585</v>
      </c>
      <c r="AI279" s="2" t="n">
        <v>65</v>
      </c>
      <c r="AJ279" s="2" t="n">
        <f aca="false">IF(V279="Optimal", 1, 0)</f>
        <v>1</v>
      </c>
      <c r="AK279" s="3" t="n">
        <f aca="false">IF(AJ279=1, W279-G279)</f>
        <v>0</v>
      </c>
      <c r="AL279" s="4" t="n">
        <f aca="false">IF(AND(AH279&lt;&gt;-1, G279&lt;&gt;"-", G279&lt;&gt;"."), ((G279-AH279)/G279)*100, -1)</f>
        <v>12.4613636363636</v>
      </c>
      <c r="AN279" s="5" t="n">
        <f aca="false">IF(AND(AO279=C279, A279=AP279), 1, 0)</f>
        <v>1</v>
      </c>
      <c r="AO279" s="5" t="s">
        <v>58</v>
      </c>
      <c r="AP279" s="5" t="n">
        <v>20</v>
      </c>
      <c r="AQ279" s="5" t="n">
        <v>3600</v>
      </c>
      <c r="AR279" s="5" t="n">
        <v>149</v>
      </c>
      <c r="AS279" s="5" t="n">
        <v>541</v>
      </c>
      <c r="AT279" s="28" t="n">
        <v>3600</v>
      </c>
      <c r="AU279" s="28" t="s">
        <v>54</v>
      </c>
      <c r="AV279" s="28" t="n">
        <v>146.307</v>
      </c>
      <c r="AW279" s="28" t="n">
        <v>113</v>
      </c>
      <c r="AX279" s="28" t="n">
        <v>36</v>
      </c>
      <c r="AY279" s="28" t="n">
        <v>2668</v>
      </c>
      <c r="AZ279" s="28" t="n">
        <v>9576</v>
      </c>
      <c r="BA279" s="28" t="n">
        <v>16</v>
      </c>
      <c r="BB279" s="6" t="n">
        <f aca="false">IF(AU279="Optimal", 1, 0)</f>
        <v>0</v>
      </c>
    </row>
    <row r="280" customFormat="false" ht="12.8" hidden="false" customHeight="false" outlineLevel="0" collapsed="false">
      <c r="A280" s="1" t="n">
        <v>20</v>
      </c>
      <c r="B280" s="23" t="s">
        <v>49</v>
      </c>
      <c r="C280" s="24" t="s">
        <v>59</v>
      </c>
      <c r="D280" s="32" t="n">
        <v>80</v>
      </c>
      <c r="E280" s="32" t="n">
        <v>346</v>
      </c>
      <c r="F280" s="32" t="n">
        <v>37</v>
      </c>
      <c r="G280" s="32" t="n">
        <v>25</v>
      </c>
      <c r="H280" s="3" t="n">
        <v>1</v>
      </c>
      <c r="I280" s="26" t="s">
        <v>53</v>
      </c>
      <c r="J280" s="26" t="n">
        <f aca="false">IF(I280="tl", 0, 1)</f>
        <v>0</v>
      </c>
      <c r="K280" s="26" t="n">
        <v>579.2</v>
      </c>
      <c r="L280" s="26" t="n">
        <f aca="false">IF(K280="tl", 0, 1)</f>
        <v>1</v>
      </c>
      <c r="M280" s="26" t="n">
        <v>23</v>
      </c>
      <c r="N280" s="26" t="n">
        <f aca="false">IF(M280="tl", 0, 1)</f>
        <v>1</v>
      </c>
      <c r="P280" s="23" t="n">
        <v>0</v>
      </c>
      <c r="Q280" s="23"/>
      <c r="R280" s="2" t="n">
        <f aca="false">IF(S280=C280, 1, 0)</f>
        <v>1</v>
      </c>
      <c r="S280" s="2" t="s">
        <v>59</v>
      </c>
      <c r="T280" s="2" t="n">
        <v>80</v>
      </c>
      <c r="U280" s="2" t="n">
        <v>346</v>
      </c>
      <c r="V280" s="2" t="s">
        <v>54</v>
      </c>
      <c r="W280" s="2" t="n">
        <v>25</v>
      </c>
      <c r="X280" s="2" t="n">
        <v>20.4935</v>
      </c>
      <c r="Y280" s="2" t="n">
        <v>1800.01</v>
      </c>
      <c r="Z280" s="2" t="n">
        <v>1107.55</v>
      </c>
      <c r="AA280" s="2" t="n">
        <v>18154</v>
      </c>
      <c r="AB280" s="2" t="n">
        <v>31</v>
      </c>
      <c r="AC280" s="2" t="n">
        <v>1464</v>
      </c>
      <c r="AD280" s="2" t="n">
        <v>2503</v>
      </c>
      <c r="AE280" s="2" t="n">
        <v>3</v>
      </c>
      <c r="AF280" s="2" t="n">
        <v>0</v>
      </c>
      <c r="AG280" s="2" t="n">
        <v>14</v>
      </c>
      <c r="AH280" s="2" t="n">
        <v>19.4872</v>
      </c>
      <c r="AI280" s="2" t="n">
        <v>42</v>
      </c>
      <c r="AJ280" s="2" t="n">
        <f aca="false">IF(V280="Optimal", 1, 0)</f>
        <v>0</v>
      </c>
      <c r="AK280" s="29" t="b">
        <f aca="false">IF(AJ280=1, W280-G280)</f>
        <v>0</v>
      </c>
      <c r="AL280" s="4" t="n">
        <f aca="false">IF(AND(AH280&lt;&gt;-1, G280&lt;&gt;"-", G280&lt;&gt;"."), ((G280-AH280)/G280)*100, -1)</f>
        <v>22.0512</v>
      </c>
      <c r="AN280" s="5" t="n">
        <f aca="false">IF(AND(AO280=C280, A280=AP280), 1, 0)</f>
        <v>1</v>
      </c>
      <c r="AO280" s="5" t="s">
        <v>59</v>
      </c>
      <c r="AP280" s="5" t="n">
        <v>20</v>
      </c>
      <c r="AQ280" s="5" t="n">
        <v>3600</v>
      </c>
      <c r="AR280" s="5" t="n">
        <v>80</v>
      </c>
      <c r="AS280" s="5" t="n">
        <v>346</v>
      </c>
      <c r="AT280" s="28" t="n">
        <v>3600</v>
      </c>
      <c r="AU280" s="28" t="s">
        <v>54</v>
      </c>
      <c r="AV280" s="28" t="n">
        <v>73.3083</v>
      </c>
      <c r="AW280" s="28" t="n">
        <v>50</v>
      </c>
      <c r="AX280" s="28" t="n">
        <v>30</v>
      </c>
      <c r="AY280" s="28" t="n">
        <v>1243</v>
      </c>
      <c r="AZ280" s="28" t="n">
        <v>7648</v>
      </c>
      <c r="BA280" s="28" t="n">
        <v>662</v>
      </c>
      <c r="BB280" s="6" t="n">
        <f aca="false">IF(AU280="Optimal", 1, 0)</f>
        <v>0</v>
      </c>
    </row>
    <row r="281" customFormat="false" ht="12.8" hidden="false" customHeight="false" outlineLevel="0" collapsed="false">
      <c r="A281" s="1" t="n">
        <v>20</v>
      </c>
      <c r="B281" s="23" t="s">
        <v>49</v>
      </c>
      <c r="C281" s="24" t="s">
        <v>60</v>
      </c>
      <c r="D281" s="32" t="n">
        <v>56</v>
      </c>
      <c r="E281" s="32" t="n">
        <v>110</v>
      </c>
      <c r="F281" s="32" t="n">
        <v>27</v>
      </c>
      <c r="G281" s="32" t="n">
        <v>21</v>
      </c>
      <c r="H281" s="3" t="n">
        <v>1</v>
      </c>
      <c r="I281" s="26" t="s">
        <v>53</v>
      </c>
      <c r="J281" s="26" t="n">
        <f aca="false">IF(I281="tl", 0, 1)</f>
        <v>0</v>
      </c>
      <c r="K281" s="26" t="n">
        <v>24.35</v>
      </c>
      <c r="L281" s="26" t="n">
        <f aca="false">IF(K281="tl", 0, 1)</f>
        <v>1</v>
      </c>
      <c r="M281" s="26" t="n">
        <v>2.76</v>
      </c>
      <c r="N281" s="26" t="n">
        <f aca="false">IF(M281="tl", 0, 1)</f>
        <v>1</v>
      </c>
      <c r="P281" s="23" t="n">
        <v>0</v>
      </c>
      <c r="Q281" s="23"/>
      <c r="R281" s="2" t="n">
        <f aca="false">IF(S281=C281, 1, 0)</f>
        <v>1</v>
      </c>
      <c r="S281" s="2" t="s">
        <v>60</v>
      </c>
      <c r="T281" s="2" t="n">
        <v>56</v>
      </c>
      <c r="U281" s="2" t="n">
        <v>110</v>
      </c>
      <c r="V281" s="2" t="s">
        <v>51</v>
      </c>
      <c r="W281" s="2" t="n">
        <v>21</v>
      </c>
      <c r="X281" s="2" t="n">
        <v>21</v>
      </c>
      <c r="Y281" s="2" t="n">
        <v>1.35576</v>
      </c>
      <c r="Z281" s="2" t="n">
        <v>0.771584</v>
      </c>
      <c r="AA281" s="2" t="n">
        <v>206</v>
      </c>
      <c r="AB281" s="2" t="n">
        <v>11</v>
      </c>
      <c r="AC281" s="2" t="n">
        <v>496</v>
      </c>
      <c r="AD281" s="2" t="n">
        <v>827</v>
      </c>
      <c r="AE281" s="2" t="n">
        <v>2</v>
      </c>
      <c r="AF281" s="2" t="n">
        <v>0</v>
      </c>
      <c r="AG281" s="2" t="n">
        <v>7</v>
      </c>
      <c r="AH281" s="2" t="n">
        <v>19.7037</v>
      </c>
      <c r="AI281" s="2" t="n">
        <v>27</v>
      </c>
      <c r="AJ281" s="2" t="n">
        <f aca="false">IF(V281="Optimal", 1, 0)</f>
        <v>1</v>
      </c>
      <c r="AK281" s="3" t="n">
        <f aca="false">IF(AJ281=1, W281-G281)</f>
        <v>0</v>
      </c>
      <c r="AL281" s="4" t="n">
        <f aca="false">IF(AND(AH281&lt;&gt;-1, G281&lt;&gt;"-", G281&lt;&gt;"."), ((G281-AH281)/G281)*100, -1)</f>
        <v>6.17285714285714</v>
      </c>
      <c r="AN281" s="5" t="n">
        <f aca="false">IF(AND(AO281=C281, A281=AP281), 1, 0)</f>
        <v>1</v>
      </c>
      <c r="AO281" s="5" t="s">
        <v>60</v>
      </c>
      <c r="AP281" s="5" t="n">
        <v>20</v>
      </c>
      <c r="AQ281" s="5" t="n">
        <v>3600</v>
      </c>
      <c r="AR281" s="5" t="n">
        <v>56</v>
      </c>
      <c r="AS281" s="5" t="n">
        <v>110</v>
      </c>
      <c r="AT281" s="28" t="n">
        <v>3600</v>
      </c>
      <c r="AU281" s="28" t="s">
        <v>54</v>
      </c>
      <c r="AV281" s="28" t="n">
        <v>47.6633</v>
      </c>
      <c r="AW281" s="28" t="n">
        <v>35</v>
      </c>
      <c r="AX281" s="28" t="n">
        <v>21</v>
      </c>
      <c r="AY281" s="28" t="n">
        <v>801</v>
      </c>
      <c r="AZ281" s="28" t="n">
        <v>3504</v>
      </c>
      <c r="BA281" s="28" t="n">
        <v>6460</v>
      </c>
      <c r="BB281" s="6" t="n">
        <f aca="false">IF(AU281="Optimal", 1, 0)</f>
        <v>0</v>
      </c>
    </row>
    <row r="282" customFormat="false" ht="12.8" hidden="false" customHeight="false" outlineLevel="0" collapsed="false">
      <c r="A282" s="1" t="n">
        <v>20</v>
      </c>
      <c r="B282" s="23" t="s">
        <v>49</v>
      </c>
      <c r="C282" s="24" t="s">
        <v>61</v>
      </c>
      <c r="D282" s="32" t="n">
        <v>114</v>
      </c>
      <c r="E282" s="32" t="n">
        <v>541</v>
      </c>
      <c r="F282" s="32" t="n">
        <v>55</v>
      </c>
      <c r="G282" s="32" t="n">
        <v>23</v>
      </c>
      <c r="H282" s="3" t="n">
        <v>1</v>
      </c>
      <c r="I282" s="26" t="s">
        <v>53</v>
      </c>
      <c r="J282" s="26" t="n">
        <f aca="false">IF(I282="tl", 0, 1)</f>
        <v>0</v>
      </c>
      <c r="K282" s="26" t="s">
        <v>53</v>
      </c>
      <c r="L282" s="26" t="n">
        <f aca="false">IF(K282="tl", 0, 1)</f>
        <v>0</v>
      </c>
      <c r="M282" s="26" t="n">
        <v>113.36</v>
      </c>
      <c r="N282" s="26" t="n">
        <f aca="false">IF(M282="tl", 0, 1)</f>
        <v>1</v>
      </c>
      <c r="P282" s="23" t="n">
        <v>0</v>
      </c>
      <c r="Q282" s="23"/>
      <c r="R282" s="2" t="n">
        <f aca="false">IF(S282=C282, 1, 0)</f>
        <v>1</v>
      </c>
      <c r="S282" s="2" t="s">
        <v>61</v>
      </c>
      <c r="T282" s="2" t="n">
        <v>114</v>
      </c>
      <c r="U282" s="2" t="n">
        <v>541</v>
      </c>
      <c r="V282" s="2" t="s">
        <v>54</v>
      </c>
      <c r="W282" s="2" t="n">
        <v>23</v>
      </c>
      <c r="X282" s="2" t="n">
        <v>20.3423</v>
      </c>
      <c r="Y282" s="2" t="n">
        <v>1800.09</v>
      </c>
      <c r="Z282" s="2" t="n">
        <v>747.007</v>
      </c>
      <c r="AA282" s="2" t="n">
        <v>17525</v>
      </c>
      <c r="AB282" s="2" t="n">
        <v>29</v>
      </c>
      <c r="AC282" s="2" t="n">
        <v>2278</v>
      </c>
      <c r="AD282" s="2" t="n">
        <v>3902</v>
      </c>
      <c r="AE282" s="2" t="n">
        <v>11</v>
      </c>
      <c r="AF282" s="2" t="n">
        <v>0</v>
      </c>
      <c r="AG282" s="2" t="n">
        <v>11</v>
      </c>
      <c r="AH282" s="2" t="n">
        <v>19.3393</v>
      </c>
      <c r="AI282" s="2" t="n">
        <v>48</v>
      </c>
      <c r="AJ282" s="2" t="n">
        <f aca="false">IF(V282="Optimal", 1, 0)</f>
        <v>0</v>
      </c>
      <c r="AK282" s="29" t="b">
        <f aca="false">IF(AJ282=1, W282-G282)</f>
        <v>0</v>
      </c>
      <c r="AL282" s="4" t="n">
        <f aca="false">IF(AND(AH282&lt;&gt;-1, G282&lt;&gt;"-", G282&lt;&gt;"."), ((G282-AH282)/G282)*100, -1)</f>
        <v>15.9160869565217</v>
      </c>
      <c r="AN282" s="5" t="n">
        <f aca="false">IF(AND(AO282=C282, A282=AP282), 1, 0)</f>
        <v>1</v>
      </c>
      <c r="AO282" s="5" t="s">
        <v>61</v>
      </c>
      <c r="AP282" s="5" t="n">
        <v>20</v>
      </c>
      <c r="AQ282" s="5" t="n">
        <v>3600</v>
      </c>
      <c r="AR282" s="5" t="n">
        <v>114</v>
      </c>
      <c r="AS282" s="5" t="n">
        <v>541</v>
      </c>
      <c r="AT282" s="28" t="n">
        <v>3600.01</v>
      </c>
      <c r="AU282" s="28" t="s">
        <v>54</v>
      </c>
      <c r="AV282" s="28" t="n">
        <v>109.788</v>
      </c>
      <c r="AW282" s="28" t="n">
        <v>91</v>
      </c>
      <c r="AX282" s="28" t="n">
        <v>23</v>
      </c>
      <c r="AY282" s="28" t="n">
        <v>1968</v>
      </c>
      <c r="AZ282" s="28" t="n">
        <v>9691</v>
      </c>
      <c r="BA282" s="28" t="n">
        <v>58</v>
      </c>
      <c r="BB282" s="6" t="n">
        <f aca="false">IF(AU282="Optimal", 1, 0)</f>
        <v>0</v>
      </c>
    </row>
    <row r="283" customFormat="false" ht="12.8" hidden="false" customHeight="false" outlineLevel="0" collapsed="false">
      <c r="A283" s="1" t="n">
        <v>20</v>
      </c>
      <c r="B283" s="23" t="s">
        <v>49</v>
      </c>
      <c r="C283" s="24" t="s">
        <v>62</v>
      </c>
      <c r="D283" s="32" t="n">
        <v>79</v>
      </c>
      <c r="E283" s="32" t="n">
        <v>156</v>
      </c>
      <c r="F283" s="32" t="n">
        <v>39</v>
      </c>
      <c r="G283" s="32" t="n">
        <v>21</v>
      </c>
      <c r="H283" s="3" t="n">
        <v>1</v>
      </c>
      <c r="I283" s="26" t="s">
        <v>53</v>
      </c>
      <c r="J283" s="26" t="n">
        <f aca="false">IF(I283="tl", 0, 1)</f>
        <v>0</v>
      </c>
      <c r="K283" s="26" t="n">
        <v>34.33</v>
      </c>
      <c r="L283" s="26" t="n">
        <f aca="false">IF(K283="tl", 0, 1)</f>
        <v>1</v>
      </c>
      <c r="M283" s="26" t="n">
        <v>15.83</v>
      </c>
      <c r="N283" s="26" t="n">
        <f aca="false">IF(M283="tl", 0, 1)</f>
        <v>1</v>
      </c>
      <c r="P283" s="23" t="n">
        <v>0</v>
      </c>
      <c r="Q283" s="23"/>
      <c r="R283" s="2" t="n">
        <f aca="false">IF(S283=C283, 1, 0)</f>
        <v>1</v>
      </c>
      <c r="S283" s="2" t="s">
        <v>62</v>
      </c>
      <c r="T283" s="2" t="n">
        <v>79</v>
      </c>
      <c r="U283" s="2" t="n">
        <v>156</v>
      </c>
      <c r="V283" s="2" t="s">
        <v>51</v>
      </c>
      <c r="W283" s="2" t="n">
        <v>21</v>
      </c>
      <c r="X283" s="2" t="n">
        <v>21</v>
      </c>
      <c r="Y283" s="2" t="n">
        <v>3.36808</v>
      </c>
      <c r="Z283" s="2" t="n">
        <v>2.27354</v>
      </c>
      <c r="AA283" s="2" t="n">
        <v>319</v>
      </c>
      <c r="AB283" s="2" t="n">
        <v>10</v>
      </c>
      <c r="AC283" s="2" t="n">
        <v>703</v>
      </c>
      <c r="AD283" s="2" t="n">
        <v>1172</v>
      </c>
      <c r="AE283" s="2" t="n">
        <v>6</v>
      </c>
      <c r="AF283" s="2" t="n">
        <v>0</v>
      </c>
      <c r="AG283" s="2" t="n">
        <v>6</v>
      </c>
      <c r="AH283" s="2" t="n">
        <v>19.4935</v>
      </c>
      <c r="AI283" s="2" t="n">
        <v>30</v>
      </c>
      <c r="AJ283" s="2" t="n">
        <f aca="false">IF(V283="Optimal", 1, 0)</f>
        <v>1</v>
      </c>
      <c r="AK283" s="3" t="n">
        <f aca="false">IF(AJ283=1, W283-G283)</f>
        <v>0</v>
      </c>
      <c r="AL283" s="4" t="n">
        <f aca="false">IF(AND(AH283&lt;&gt;-1, G283&lt;&gt;"-", G283&lt;&gt;"."), ((G283-AH283)/G283)*100, -1)</f>
        <v>7.17380952380952</v>
      </c>
      <c r="AN283" s="5" t="n">
        <f aca="false">IF(AND(AO283=C283, A283=AP283), 1, 0)</f>
        <v>1</v>
      </c>
      <c r="AO283" s="5" t="s">
        <v>62</v>
      </c>
      <c r="AP283" s="5" t="n">
        <v>20</v>
      </c>
      <c r="AQ283" s="5" t="n">
        <v>3600</v>
      </c>
      <c r="AR283" s="5" t="n">
        <v>79</v>
      </c>
      <c r="AS283" s="5" t="n">
        <v>156</v>
      </c>
      <c r="AT283" s="28" t="n">
        <v>3600</v>
      </c>
      <c r="AU283" s="28" t="s">
        <v>54</v>
      </c>
      <c r="AV283" s="28" t="n">
        <v>73.1371</v>
      </c>
      <c r="AW283" s="28" t="n">
        <v>57</v>
      </c>
      <c r="AX283" s="28" t="n">
        <v>22</v>
      </c>
      <c r="AY283" s="28" t="n">
        <v>1263</v>
      </c>
      <c r="AZ283" s="28" t="n">
        <v>5667</v>
      </c>
      <c r="BA283" s="28" t="n">
        <v>1244</v>
      </c>
      <c r="BB283" s="6" t="n">
        <f aca="false">IF(AU283="Optimal", 1, 0)</f>
        <v>0</v>
      </c>
    </row>
    <row r="284" customFormat="false" ht="12.8" hidden="false" customHeight="false" outlineLevel="0" collapsed="false">
      <c r="A284" s="1" t="n">
        <v>20</v>
      </c>
      <c r="B284" s="23" t="s">
        <v>49</v>
      </c>
      <c r="C284" s="24" t="s">
        <v>63</v>
      </c>
      <c r="D284" s="32" t="n">
        <v>154</v>
      </c>
      <c r="E284" s="32" t="n">
        <v>792</v>
      </c>
      <c r="F284" s="32" t="n">
        <v>72</v>
      </c>
      <c r="G284" s="32" t="n">
        <v>22</v>
      </c>
      <c r="H284" s="3" t="n">
        <v>1</v>
      </c>
      <c r="I284" s="26" t="s">
        <v>53</v>
      </c>
      <c r="J284" s="26" t="n">
        <f aca="false">IF(I284="tl", 0, 1)</f>
        <v>0</v>
      </c>
      <c r="K284" s="26" t="s">
        <v>53</v>
      </c>
      <c r="L284" s="26" t="n">
        <f aca="false">IF(K284="tl", 0, 1)</f>
        <v>0</v>
      </c>
      <c r="M284" s="26" t="n">
        <v>72.32</v>
      </c>
      <c r="N284" s="26" t="n">
        <f aca="false">IF(M284="tl", 0, 1)</f>
        <v>1</v>
      </c>
      <c r="P284" s="23" t="n">
        <v>0</v>
      </c>
      <c r="Q284" s="23"/>
      <c r="R284" s="2" t="n">
        <f aca="false">IF(S284=C284, 1, 0)</f>
        <v>1</v>
      </c>
      <c r="S284" s="2" t="s">
        <v>63</v>
      </c>
      <c r="T284" s="2" t="n">
        <v>154</v>
      </c>
      <c r="U284" s="2" t="n">
        <v>792</v>
      </c>
      <c r="V284" s="2" t="s">
        <v>54</v>
      </c>
      <c r="W284" s="2" t="n">
        <v>72</v>
      </c>
      <c r="X284" s="2" t="n">
        <v>19.25</v>
      </c>
      <c r="Y284" s="2" t="n">
        <v>1800</v>
      </c>
      <c r="Z284" s="2" t="n">
        <v>67.1232</v>
      </c>
      <c r="AA284" s="2" t="n">
        <v>10005</v>
      </c>
      <c r="AB284" s="2" t="n">
        <v>3</v>
      </c>
      <c r="AC284" s="2" t="n">
        <v>3322</v>
      </c>
      <c r="AD284" s="2" t="n">
        <v>5699</v>
      </c>
      <c r="AE284" s="2" t="n">
        <v>9</v>
      </c>
      <c r="AF284" s="2" t="n">
        <v>0</v>
      </c>
      <c r="AG284" s="2" t="n">
        <v>1</v>
      </c>
      <c r="AH284" s="2" t="n">
        <v>19.25</v>
      </c>
      <c r="AI284" s="2" t="n">
        <v>72</v>
      </c>
      <c r="AJ284" s="2" t="n">
        <f aca="false">IF(V284="Optimal", 1, 0)</f>
        <v>0</v>
      </c>
      <c r="AK284" s="29" t="b">
        <f aca="false">IF(AJ284=1, W284-G284)</f>
        <v>0</v>
      </c>
      <c r="AL284" s="4" t="n">
        <f aca="false">IF(AND(AH284&lt;&gt;-1, G284&lt;&gt;"-", G284&lt;&gt;"."), ((G284-AH284)/G284)*100, -1)</f>
        <v>12.5</v>
      </c>
      <c r="AN284" s="5" t="n">
        <f aca="false">IF(AND(AO284=C284, A284=AP284), 1, 0)</f>
        <v>1</v>
      </c>
      <c r="AO284" s="5" t="s">
        <v>63</v>
      </c>
      <c r="AP284" s="5" t="n">
        <v>20</v>
      </c>
      <c r="AQ284" s="5" t="n">
        <v>3600</v>
      </c>
      <c r="AR284" s="5" t="n">
        <v>154</v>
      </c>
      <c r="AS284" s="5" t="n">
        <v>792</v>
      </c>
      <c r="AT284" s="28" t="n">
        <v>3600</v>
      </c>
      <c r="AU284" s="28" t="s">
        <v>54</v>
      </c>
      <c r="AV284" s="28" t="n">
        <v>151.865</v>
      </c>
      <c r="AW284" s="28" t="n">
        <v>132</v>
      </c>
      <c r="AX284" s="28" t="n">
        <v>22</v>
      </c>
      <c r="AY284" s="28" t="n">
        <v>2769</v>
      </c>
      <c r="AZ284" s="28" t="n">
        <v>14594</v>
      </c>
      <c r="BA284" s="28" t="n">
        <v>10</v>
      </c>
      <c r="BB284" s="6" t="n">
        <f aca="false">IF(AU284="Optimal", 1, 0)</f>
        <v>0</v>
      </c>
    </row>
    <row r="285" customFormat="false" ht="12.8" hidden="false" customHeight="false" outlineLevel="0" collapsed="false">
      <c r="A285" s="1" t="n">
        <v>20</v>
      </c>
      <c r="B285" s="23" t="s">
        <v>64</v>
      </c>
      <c r="C285" s="24" t="s">
        <v>65</v>
      </c>
      <c r="D285" s="32" t="n">
        <v>112</v>
      </c>
      <c r="E285" s="32" t="n">
        <v>425</v>
      </c>
      <c r="F285" s="32" t="n">
        <v>53</v>
      </c>
      <c r="G285" s="32" t="n">
        <v>16</v>
      </c>
      <c r="H285" s="3" t="n">
        <v>1</v>
      </c>
      <c r="I285" s="26" t="s">
        <v>53</v>
      </c>
      <c r="J285" s="26" t="n">
        <f aca="false">IF(I285="tl", 0, 1)</f>
        <v>0</v>
      </c>
      <c r="K285" s="26" t="n">
        <v>1777.17</v>
      </c>
      <c r="L285" s="26" t="n">
        <f aca="false">IF(K285="tl", 0, 1)</f>
        <v>1</v>
      </c>
      <c r="M285" s="26" t="n">
        <v>18.32</v>
      </c>
      <c r="N285" s="26" t="n">
        <f aca="false">IF(M285="tl", 0, 1)</f>
        <v>1</v>
      </c>
      <c r="P285" s="23" t="n">
        <v>0</v>
      </c>
      <c r="Q285" s="23"/>
      <c r="R285" s="2" t="n">
        <f aca="false">IF(S285=C285, 1, 0)</f>
        <v>1</v>
      </c>
      <c r="S285" s="2" t="s">
        <v>65</v>
      </c>
      <c r="T285" s="2" t="n">
        <v>112</v>
      </c>
      <c r="U285" s="2" t="n">
        <v>425</v>
      </c>
      <c r="V285" s="2" t="s">
        <v>51</v>
      </c>
      <c r="W285" s="2" t="n">
        <v>16</v>
      </c>
      <c r="X285" s="2" t="n">
        <v>16</v>
      </c>
      <c r="Y285" s="2" t="n">
        <v>13.3293</v>
      </c>
      <c r="Z285" s="2" t="n">
        <v>4.44906</v>
      </c>
      <c r="AA285" s="2" t="n">
        <v>850</v>
      </c>
      <c r="AB285" s="2" t="n">
        <v>10</v>
      </c>
      <c r="AC285" s="2" t="n">
        <v>1812</v>
      </c>
      <c r="AD285" s="2" t="n">
        <v>3088</v>
      </c>
      <c r="AE285" s="2" t="n">
        <v>21</v>
      </c>
      <c r="AF285" s="2" t="n">
        <v>0</v>
      </c>
      <c r="AG285" s="2" t="n">
        <v>8</v>
      </c>
      <c r="AH285" s="2" t="n">
        <v>15.1724</v>
      </c>
      <c r="AI285" s="2" t="n">
        <v>44</v>
      </c>
      <c r="AJ285" s="2" t="n">
        <f aca="false">IF(V285="Optimal", 1, 0)</f>
        <v>1</v>
      </c>
      <c r="AK285" s="3" t="n">
        <f aca="false">IF(AJ285=1, W285-G285)</f>
        <v>0</v>
      </c>
      <c r="AL285" s="4" t="n">
        <f aca="false">IF(AND(AH285&lt;&gt;-1, G285&lt;&gt;"-", G285&lt;&gt;"."), ((G285-AH285)/G285)*100, -1)</f>
        <v>5.1725</v>
      </c>
      <c r="AN285" s="5" t="n">
        <f aca="false">IF(AND(AO285=C285, A285=AP285), 1, 0)</f>
        <v>1</v>
      </c>
      <c r="AO285" s="5" t="s">
        <v>65</v>
      </c>
      <c r="AP285" s="5" t="n">
        <v>20</v>
      </c>
      <c r="AQ285" s="5" t="n">
        <v>3600</v>
      </c>
      <c r="AR285" s="5" t="n">
        <v>112</v>
      </c>
      <c r="AS285" s="5" t="n">
        <v>425</v>
      </c>
      <c r="AT285" s="28" t="n">
        <v>3600</v>
      </c>
      <c r="AU285" s="28" t="s">
        <v>54</v>
      </c>
      <c r="AV285" s="28" t="n">
        <v>106.52</v>
      </c>
      <c r="AW285" s="28" t="n">
        <v>93</v>
      </c>
      <c r="AX285" s="28" t="n">
        <v>19</v>
      </c>
      <c r="AY285" s="28" t="n">
        <v>1897</v>
      </c>
      <c r="AZ285" s="28" t="n">
        <v>6412</v>
      </c>
      <c r="BA285" s="28" t="n">
        <v>164</v>
      </c>
      <c r="BB285" s="6" t="n">
        <f aca="false">IF(AU285="Optimal", 1, 0)</f>
        <v>0</v>
      </c>
    </row>
    <row r="286" customFormat="false" ht="12.8" hidden="false" customHeight="false" outlineLevel="0" collapsed="false">
      <c r="A286" s="1" t="n">
        <v>20</v>
      </c>
      <c r="B286" s="23" t="s">
        <v>49</v>
      </c>
      <c r="C286" s="24" t="s">
        <v>66</v>
      </c>
      <c r="D286" s="32" t="n">
        <v>138</v>
      </c>
      <c r="E286" s="32" t="n">
        <v>493</v>
      </c>
      <c r="F286" s="32" t="n">
        <v>80</v>
      </c>
      <c r="G286" s="32" t="n">
        <v>2</v>
      </c>
      <c r="H286" s="3" t="n">
        <v>1</v>
      </c>
      <c r="I286" s="26" t="n">
        <v>1.55</v>
      </c>
      <c r="J286" s="26" t="n">
        <f aca="false">IF(I286="tl", 0, 1)</f>
        <v>1</v>
      </c>
      <c r="K286" s="26" t="n">
        <v>60.09</v>
      </c>
      <c r="L286" s="26" t="n">
        <f aca="false">IF(K286="tl", 0, 1)</f>
        <v>1</v>
      </c>
      <c r="M286" s="26" t="n">
        <v>0.01</v>
      </c>
      <c r="N286" s="26" t="n">
        <f aca="false">IF(M286="tl", 0, 1)</f>
        <v>1</v>
      </c>
      <c r="P286" s="23" t="n">
        <v>0</v>
      </c>
      <c r="Q286" s="23"/>
      <c r="R286" s="2" t="n">
        <f aca="false">IF(S286=C286, 1, 0)</f>
        <v>1</v>
      </c>
      <c r="S286" s="2" t="s">
        <v>66</v>
      </c>
      <c r="T286" s="2" t="n">
        <v>138</v>
      </c>
      <c r="U286" s="2" t="n">
        <v>493</v>
      </c>
      <c r="V286" s="2" t="s">
        <v>51</v>
      </c>
      <c r="W286" s="2" t="n">
        <v>2</v>
      </c>
      <c r="X286" s="2" t="n">
        <v>2</v>
      </c>
      <c r="Y286" s="2" t="n">
        <v>85.5055</v>
      </c>
      <c r="Z286" s="2" t="n">
        <v>5.47055</v>
      </c>
      <c r="AA286" s="2" t="n">
        <v>1786</v>
      </c>
      <c r="AB286" s="2" t="n">
        <v>1</v>
      </c>
      <c r="AC286" s="2" t="n">
        <v>2110</v>
      </c>
      <c r="AD286" s="2" t="n">
        <v>3590</v>
      </c>
      <c r="AE286" s="2" t="n">
        <v>1155</v>
      </c>
      <c r="AF286" s="2" t="n">
        <v>0</v>
      </c>
      <c r="AG286" s="2" t="n">
        <v>0</v>
      </c>
      <c r="AH286" s="2" t="n">
        <v>-1</v>
      </c>
      <c r="AI286" s="2" t="n">
        <v>-1</v>
      </c>
      <c r="AJ286" s="2" t="n">
        <f aca="false">IF(V286="Optimal", 1, 0)</f>
        <v>1</v>
      </c>
      <c r="AK286" s="3" t="n">
        <f aca="false">IF(AJ286=1, W286-G286)</f>
        <v>0</v>
      </c>
      <c r="AL286" s="4" t="n">
        <f aca="false">IF(AND(AH286&lt;&gt;-1, G286&lt;&gt;"-", G286&lt;&gt;"."), ((G286-AH286)/G286)*100, -1)</f>
        <v>-1</v>
      </c>
      <c r="AN286" s="5" t="n">
        <f aca="false">IF(AND(AO286=C286, A286=AP286), 1, 0)</f>
        <v>1</v>
      </c>
      <c r="AO286" s="5" t="s">
        <v>66</v>
      </c>
      <c r="AP286" s="5" t="n">
        <v>20</v>
      </c>
      <c r="AQ286" s="5" t="n">
        <v>3600</v>
      </c>
      <c r="AR286" s="5" t="n">
        <v>138</v>
      </c>
      <c r="AS286" s="5" t="n">
        <v>493</v>
      </c>
      <c r="AT286" s="28" t="n">
        <v>488.151</v>
      </c>
      <c r="AU286" s="28" t="s">
        <v>51</v>
      </c>
      <c r="AV286" s="28" t="n">
        <v>136</v>
      </c>
      <c r="AW286" s="28" t="n">
        <v>136</v>
      </c>
      <c r="AX286" s="28" t="n">
        <v>2</v>
      </c>
      <c r="AY286" s="28" t="n">
        <v>2567</v>
      </c>
      <c r="AZ286" s="28" t="n">
        <v>9422</v>
      </c>
      <c r="BA286" s="28" t="n">
        <v>16</v>
      </c>
      <c r="BB286" s="6" t="n">
        <f aca="false">IF(AU286="Optimal", 1, 0)</f>
        <v>1</v>
      </c>
    </row>
    <row r="287" customFormat="false" ht="12.8" hidden="false" customHeight="false" outlineLevel="0" collapsed="false">
      <c r="A287" s="1" t="n">
        <v>20</v>
      </c>
      <c r="B287" s="23" t="s">
        <v>67</v>
      </c>
      <c r="C287" s="24" t="s">
        <v>69</v>
      </c>
      <c r="D287" s="32" t="n">
        <v>85</v>
      </c>
      <c r="E287" s="32" t="n">
        <v>219</v>
      </c>
      <c r="F287" s="32" t="n">
        <v>29</v>
      </c>
      <c r="G287" s="32" t="n">
        <v>34</v>
      </c>
      <c r="H287" s="3" t="n">
        <v>1</v>
      </c>
      <c r="I287" s="25" t="s">
        <v>53</v>
      </c>
      <c r="J287" s="26" t="n">
        <f aca="false">IF(I287="tl", 0, 1)</f>
        <v>0</v>
      </c>
      <c r="K287" s="25" t="n">
        <v>263.85</v>
      </c>
      <c r="L287" s="26" t="n">
        <f aca="false">IF(K287="tl", 0, 1)</f>
        <v>1</v>
      </c>
      <c r="M287" s="25" t="s">
        <v>53</v>
      </c>
      <c r="N287" s="26" t="n">
        <f aca="false">IF(M287="tl", 0, 1)</f>
        <v>0</v>
      </c>
      <c r="P287" s="23" t="n">
        <v>0</v>
      </c>
      <c r="Q287" s="23"/>
      <c r="R287" s="2" t="n">
        <f aca="false">IF(S287=C287, 1, 0)</f>
        <v>1</v>
      </c>
      <c r="S287" s="2" t="s">
        <v>69</v>
      </c>
      <c r="T287" s="2" t="n">
        <v>85</v>
      </c>
      <c r="U287" s="2" t="n">
        <v>219</v>
      </c>
      <c r="V287" s="2" t="s">
        <v>54</v>
      </c>
      <c r="W287" s="2" t="n">
        <v>35</v>
      </c>
      <c r="X287" s="2" t="n">
        <v>25.2029</v>
      </c>
      <c r="Y287" s="2" t="n">
        <v>1800.03</v>
      </c>
      <c r="Z287" s="2" t="n">
        <v>1548.65</v>
      </c>
      <c r="AA287" s="2" t="n">
        <v>17596</v>
      </c>
      <c r="AB287" s="2" t="n">
        <v>1410</v>
      </c>
      <c r="AC287" s="2" t="n">
        <v>961</v>
      </c>
      <c r="AD287" s="2" t="n">
        <v>1619</v>
      </c>
      <c r="AE287" s="2" t="n">
        <v>14</v>
      </c>
      <c r="AF287" s="2" t="n">
        <v>0</v>
      </c>
      <c r="AG287" s="2" t="n">
        <v>29</v>
      </c>
      <c r="AH287" s="2" t="n">
        <v>19.4578</v>
      </c>
      <c r="AI287" s="2" t="n">
        <v>54</v>
      </c>
      <c r="AJ287" s="2" t="n">
        <f aca="false">IF(V287="Optimal", 1, 0)</f>
        <v>0</v>
      </c>
      <c r="AK287" s="29" t="b">
        <f aca="false">IF(AJ287=1, W287-G287)</f>
        <v>0</v>
      </c>
      <c r="AL287" s="4" t="n">
        <f aca="false">IF(AND(AH287&lt;&gt;-1, G287&lt;&gt;"-", G287&lt;&gt;"."), ((G287-AH287)/G287)*100, -1)</f>
        <v>42.7711764705882</v>
      </c>
      <c r="AN287" s="5" t="n">
        <f aca="false">IF(AND(AO287=C287, A287=AP287), 1, 0)</f>
        <v>1</v>
      </c>
      <c r="AO287" s="5" t="s">
        <v>69</v>
      </c>
      <c r="AP287" s="5" t="n">
        <v>20</v>
      </c>
      <c r="AQ287" s="5" t="n">
        <v>3600</v>
      </c>
      <c r="AR287" s="5" t="n">
        <v>85</v>
      </c>
      <c r="AS287" s="5" t="n">
        <v>219</v>
      </c>
      <c r="AT287" s="28" t="n">
        <v>3600</v>
      </c>
      <c r="AU287" s="28" t="s">
        <v>54</v>
      </c>
      <c r="AV287" s="28" t="n">
        <v>80.8742</v>
      </c>
      <c r="AW287" s="28" t="n">
        <v>47</v>
      </c>
      <c r="AX287" s="28" t="n">
        <v>38</v>
      </c>
      <c r="AY287" s="28" t="n">
        <v>1510</v>
      </c>
      <c r="AZ287" s="28" t="n">
        <v>5056</v>
      </c>
      <c r="BA287" s="28" t="n">
        <v>2553</v>
      </c>
      <c r="BB287" s="6" t="n">
        <f aca="false">IF(AU287="Optimal", 1, 0)</f>
        <v>0</v>
      </c>
    </row>
    <row r="288" customFormat="false" ht="12.8" hidden="false" customHeight="false" outlineLevel="0" collapsed="false">
      <c r="A288" s="1" t="n">
        <v>20</v>
      </c>
      <c r="B288" s="23" t="s">
        <v>67</v>
      </c>
      <c r="C288" s="24" t="s">
        <v>70</v>
      </c>
      <c r="D288" s="32" t="n">
        <v>104</v>
      </c>
      <c r="E288" s="32" t="n">
        <v>331</v>
      </c>
      <c r="F288" s="32" t="n">
        <v>30</v>
      </c>
      <c r="G288" s="32" t="s">
        <v>77</v>
      </c>
      <c r="H288" s="3" t="n">
        <v>0</v>
      </c>
      <c r="I288" s="25" t="s">
        <v>53</v>
      </c>
      <c r="J288" s="26" t="n">
        <f aca="false">IF(I288="tl", 0, 1)</f>
        <v>0</v>
      </c>
      <c r="K288" s="25" t="s">
        <v>53</v>
      </c>
      <c r="L288" s="26" t="n">
        <f aca="false">IF(K288="tl", 0, 1)</f>
        <v>0</v>
      </c>
      <c r="M288" s="25" t="s">
        <v>53</v>
      </c>
      <c r="N288" s="26" t="n">
        <f aca="false">IF(M288="tl", 0, 1)</f>
        <v>0</v>
      </c>
      <c r="P288" s="23" t="n">
        <v>0</v>
      </c>
      <c r="Q288" s="23"/>
      <c r="R288" s="2" t="n">
        <f aca="false">IF(S288=C288, 1, 0)</f>
        <v>1</v>
      </c>
      <c r="S288" s="2" t="s">
        <v>70</v>
      </c>
      <c r="T288" s="2" t="n">
        <v>104</v>
      </c>
      <c r="U288" s="2" t="n">
        <v>331</v>
      </c>
      <c r="V288" s="2" t="s">
        <v>54</v>
      </c>
      <c r="W288" s="2" t="n">
        <v>53</v>
      </c>
      <c r="X288" s="2" t="n">
        <v>22.8529</v>
      </c>
      <c r="Y288" s="2" t="n">
        <v>1800.05</v>
      </c>
      <c r="Z288" s="2" t="n">
        <v>1401.13</v>
      </c>
      <c r="AA288" s="2" t="n">
        <v>11780</v>
      </c>
      <c r="AB288" s="2" t="n">
        <v>596</v>
      </c>
      <c r="AC288" s="2" t="n">
        <v>1428</v>
      </c>
      <c r="AD288" s="2" t="n">
        <v>2422</v>
      </c>
      <c r="AE288" s="2" t="n">
        <v>33</v>
      </c>
      <c r="AF288" s="2" t="n">
        <v>0</v>
      </c>
      <c r="AG288" s="2" t="n">
        <v>46</v>
      </c>
      <c r="AH288" s="2" t="n">
        <v>19.3725</v>
      </c>
      <c r="AI288" s="2" t="n">
        <v>66</v>
      </c>
      <c r="AJ288" s="2" t="n">
        <f aca="false">IF(V288="Optimal", 1, 0)</f>
        <v>0</v>
      </c>
      <c r="AK288" s="29" t="b">
        <f aca="false">IF(AJ288=1, W288-G288)</f>
        <v>0</v>
      </c>
      <c r="AL288" s="4" t="n">
        <f aca="false">IF(AND(AH288&lt;&gt;-1, G288&lt;&gt;"-", G288&lt;&gt;"."), ((G288-AH288)/G288)*100, -1)</f>
        <v>-1</v>
      </c>
      <c r="AN288" s="5" t="n">
        <f aca="false">IF(AND(AO288=C288, A288=AP288), 1, 0)</f>
        <v>1</v>
      </c>
      <c r="AO288" s="5" t="s">
        <v>70</v>
      </c>
      <c r="AP288" s="5" t="n">
        <v>20</v>
      </c>
      <c r="AQ288" s="5" t="n">
        <v>3600</v>
      </c>
      <c r="AR288" s="5" t="n">
        <v>104</v>
      </c>
      <c r="AS288" s="5" t="n">
        <v>331</v>
      </c>
      <c r="AT288" s="28" t="n">
        <v>3600.01</v>
      </c>
      <c r="AU288" s="28" t="s">
        <v>54</v>
      </c>
      <c r="AV288" s="28" t="n">
        <v>101.349</v>
      </c>
      <c r="AW288" s="28" t="n">
        <v>49</v>
      </c>
      <c r="AX288" s="28" t="n">
        <v>56</v>
      </c>
      <c r="AY288" s="28" t="n">
        <v>1890</v>
      </c>
      <c r="AZ288" s="28" t="n">
        <v>7552</v>
      </c>
      <c r="BA288" s="28" t="n">
        <v>1353</v>
      </c>
      <c r="BB288" s="6" t="n">
        <f aca="false">IF(AU288="Optimal", 1, 0)</f>
        <v>0</v>
      </c>
    </row>
    <row r="289" customFormat="false" ht="12.8" hidden="false" customHeight="false" outlineLevel="0" collapsed="false">
      <c r="A289" s="1" t="n">
        <v>20</v>
      </c>
      <c r="B289" s="23" t="s">
        <v>67</v>
      </c>
      <c r="C289" s="24" t="s">
        <v>74</v>
      </c>
      <c r="D289" s="32" t="n">
        <v>118</v>
      </c>
      <c r="E289" s="32" t="n">
        <v>576</v>
      </c>
      <c r="F289" s="32" t="n">
        <v>32</v>
      </c>
      <c r="G289" s="32" t="n">
        <v>46</v>
      </c>
      <c r="H289" s="3" t="n">
        <v>1</v>
      </c>
      <c r="I289" s="25" t="s">
        <v>53</v>
      </c>
      <c r="J289" s="26" t="n">
        <f aca="false">IF(I289="tl", 0, 1)</f>
        <v>0</v>
      </c>
      <c r="K289" s="25" t="n">
        <v>230.46</v>
      </c>
      <c r="L289" s="26" t="n">
        <f aca="false">IF(K289="tl", 0, 1)</f>
        <v>1</v>
      </c>
      <c r="M289" s="25" t="s">
        <v>53</v>
      </c>
      <c r="N289" s="26" t="n">
        <f aca="false">IF(M289="tl", 0, 1)</f>
        <v>0</v>
      </c>
      <c r="P289" s="23" t="n">
        <v>0</v>
      </c>
      <c r="Q289" s="23"/>
      <c r="R289" s="2" t="n">
        <f aca="false">IF(S289=C289, 1, 0)</f>
        <v>1</v>
      </c>
      <c r="S289" s="2" t="s">
        <v>74</v>
      </c>
      <c r="T289" s="2" t="n">
        <v>118</v>
      </c>
      <c r="U289" s="2" t="n">
        <v>576</v>
      </c>
      <c r="V289" s="2" t="s">
        <v>54</v>
      </c>
      <c r="W289" s="2" t="n">
        <v>66</v>
      </c>
      <c r="X289" s="2" t="n">
        <v>21.3333</v>
      </c>
      <c r="Y289" s="2" t="n">
        <v>1800.17</v>
      </c>
      <c r="Z289" s="2" t="n">
        <v>1084.79</v>
      </c>
      <c r="AA289" s="2" t="n">
        <v>10670</v>
      </c>
      <c r="AB289" s="2" t="n">
        <v>37</v>
      </c>
      <c r="AC289" s="2" t="n">
        <v>2422</v>
      </c>
      <c r="AD289" s="2" t="n">
        <v>4151</v>
      </c>
      <c r="AE289" s="2" t="n">
        <v>30</v>
      </c>
      <c r="AF289" s="2" t="n">
        <v>0</v>
      </c>
      <c r="AG289" s="2" t="n">
        <v>12</v>
      </c>
      <c r="AH289" s="2" t="n">
        <v>19.3276</v>
      </c>
      <c r="AI289" s="2" t="n">
        <v>83</v>
      </c>
      <c r="AJ289" s="2" t="n">
        <f aca="false">IF(V289="Optimal", 1, 0)</f>
        <v>0</v>
      </c>
      <c r="AK289" s="29" t="b">
        <f aca="false">IF(AJ289=1, W289-G289)</f>
        <v>0</v>
      </c>
      <c r="AL289" s="4" t="n">
        <f aca="false">IF(AND(AH289&lt;&gt;-1, G289&lt;&gt;"-", G289&lt;&gt;"."), ((G289-AH289)/G289)*100, -1)</f>
        <v>57.9834782608696</v>
      </c>
      <c r="AN289" s="5" t="n">
        <f aca="false">IF(AND(AO289=C289, A289=AP289), 1, 0)</f>
        <v>1</v>
      </c>
      <c r="AO289" s="5" t="s">
        <v>74</v>
      </c>
      <c r="AP289" s="5" t="n">
        <v>20</v>
      </c>
      <c r="AQ289" s="5" t="n">
        <v>3600</v>
      </c>
      <c r="AR289" s="5" t="n">
        <v>118</v>
      </c>
      <c r="AS289" s="5" t="n">
        <v>576</v>
      </c>
      <c r="AT289" s="28" t="n">
        <v>3600</v>
      </c>
      <c r="AU289" s="28" t="s">
        <v>54</v>
      </c>
      <c r="AV289" s="28" t="n">
        <v>115.214</v>
      </c>
      <c r="AW289" s="28" t="n">
        <v>55</v>
      </c>
      <c r="AX289" s="28" t="n">
        <v>63</v>
      </c>
      <c r="AY289" s="28" t="n">
        <v>2170</v>
      </c>
      <c r="AZ289" s="28" t="n">
        <v>11664</v>
      </c>
      <c r="BA289" s="28" t="n">
        <v>252</v>
      </c>
      <c r="BB289" s="6" t="n">
        <f aca="false">IF(AU289="Optimal", 1, 0)</f>
        <v>0</v>
      </c>
    </row>
    <row r="290" customFormat="false" ht="12.8" hidden="false" customHeight="false" outlineLevel="0" collapsed="false">
      <c r="A290" s="1" t="n">
        <v>20</v>
      </c>
      <c r="B290" s="23" t="s">
        <v>64</v>
      </c>
      <c r="C290" s="24" t="s">
        <v>82</v>
      </c>
      <c r="D290" s="32" t="n">
        <v>297</v>
      </c>
      <c r="E290" s="32" t="n">
        <v>2148</v>
      </c>
      <c r="F290" s="32" t="n">
        <v>110</v>
      </c>
      <c r="G290" s="32" t="n">
        <v>6</v>
      </c>
      <c r="H290" s="3" t="n">
        <v>1</v>
      </c>
      <c r="I290" s="26" t="s">
        <v>53</v>
      </c>
      <c r="J290" s="26" t="n">
        <f aca="false">IF(I290="tl", 0, 1)</f>
        <v>0</v>
      </c>
      <c r="K290" s="26" t="s">
        <v>53</v>
      </c>
      <c r="L290" s="26" t="n">
        <f aca="false">IF(K290="tl", 0, 1)</f>
        <v>0</v>
      </c>
      <c r="M290" s="26" t="n">
        <v>11.17</v>
      </c>
      <c r="N290" s="26" t="n">
        <f aca="false">IF(M290="tl", 0, 1)</f>
        <v>1</v>
      </c>
      <c r="P290" s="23" t="n">
        <v>0</v>
      </c>
      <c r="Q290" s="23"/>
      <c r="R290" s="2" t="n">
        <f aca="false">IF(S290=C290, 1, 0)</f>
        <v>1</v>
      </c>
      <c r="S290" s="2" t="s">
        <v>82</v>
      </c>
      <c r="T290" s="2" t="n">
        <v>297</v>
      </c>
      <c r="U290" s="2" t="n">
        <v>2148</v>
      </c>
      <c r="V290" s="2" t="s">
        <v>54</v>
      </c>
      <c r="W290" s="42" t="n">
        <v>1E+020</v>
      </c>
      <c r="X290" s="2" t="n">
        <v>1</v>
      </c>
      <c r="Y290" s="2" t="n">
        <v>1800.04</v>
      </c>
      <c r="Z290" s="2" t="n">
        <v>89.5364</v>
      </c>
      <c r="AA290" s="2" t="n">
        <v>7011</v>
      </c>
      <c r="AB290" s="2" t="n">
        <v>1</v>
      </c>
      <c r="AC290" s="2" t="n">
        <v>8889</v>
      </c>
      <c r="AD290" s="2" t="n">
        <v>15334</v>
      </c>
      <c r="AE290" s="2" t="n">
        <v>4566</v>
      </c>
      <c r="AF290" s="2" t="n">
        <v>0</v>
      </c>
      <c r="AG290" s="2" t="n">
        <v>0</v>
      </c>
      <c r="AH290" s="2" t="n">
        <v>-1</v>
      </c>
      <c r="AI290" s="2" t="n">
        <v>-1</v>
      </c>
      <c r="AJ290" s="2" t="n">
        <f aca="false">IF(V290="Optimal", 1, 0)</f>
        <v>0</v>
      </c>
      <c r="AK290" s="29" t="b">
        <f aca="false">IF(AJ290=1, W290-G290)</f>
        <v>0</v>
      </c>
      <c r="AL290" s="4" t="n">
        <f aca="false">IF(AND(AH290&lt;&gt;-1, G290&lt;&gt;"-", G290&lt;&gt;"."), ((G290-AH290)/G290)*100, -1)</f>
        <v>-1</v>
      </c>
      <c r="AN290" s="5" t="n">
        <f aca="false">IF(AND(AO290=C290, A290=AP290), 1, 0)</f>
        <v>1</v>
      </c>
      <c r="AO290" s="5" t="s">
        <v>82</v>
      </c>
      <c r="AP290" s="5" t="n">
        <v>20</v>
      </c>
      <c r="AQ290" s="5" t="n">
        <v>3600</v>
      </c>
      <c r="AR290" s="5" t="n">
        <v>297</v>
      </c>
      <c r="AS290" s="5" t="n">
        <v>2148</v>
      </c>
      <c r="AT290" s="28" t="n">
        <v>3600.02</v>
      </c>
      <c r="AU290" s="28" t="s">
        <v>54</v>
      </c>
      <c r="AV290" s="28" t="n">
        <v>296.388</v>
      </c>
      <c r="AW290" s="28" t="n">
        <v>282</v>
      </c>
      <c r="AX290" s="28" t="n">
        <v>16</v>
      </c>
      <c r="AY290" s="28" t="n">
        <v>5750</v>
      </c>
      <c r="AZ290" s="28" t="n">
        <v>40260</v>
      </c>
      <c r="BA290" s="28" t="n">
        <v>1</v>
      </c>
      <c r="BB290" s="6" t="n">
        <f aca="false">IF(AU290="Optimal", 1, 0)</f>
        <v>0</v>
      </c>
    </row>
    <row r="291" customFormat="false" ht="12.8" hidden="false" customHeight="false" outlineLevel="0" collapsed="false">
      <c r="A291" s="1" t="n">
        <v>20</v>
      </c>
      <c r="B291" s="23" t="s">
        <v>49</v>
      </c>
      <c r="C291" s="24" t="s">
        <v>85</v>
      </c>
      <c r="D291" s="32" t="n">
        <v>87</v>
      </c>
      <c r="E291" s="32" t="n">
        <v>406</v>
      </c>
      <c r="F291" s="32" t="n">
        <v>36</v>
      </c>
      <c r="G291" s="32" t="n">
        <v>9</v>
      </c>
      <c r="H291" s="3" t="n">
        <v>1</v>
      </c>
      <c r="I291" s="26" t="n">
        <v>753.15</v>
      </c>
      <c r="J291" s="26" t="n">
        <f aca="false">IF(I291="tl", 0, 1)</f>
        <v>1</v>
      </c>
      <c r="K291" s="26" t="n">
        <v>27.56</v>
      </c>
      <c r="L291" s="26" t="n">
        <f aca="false">IF(K291="tl", 0, 1)</f>
        <v>1</v>
      </c>
      <c r="M291" s="26" t="n">
        <v>1.16</v>
      </c>
      <c r="N291" s="26" t="n">
        <f aca="false">IF(M291="tl", 0, 1)</f>
        <v>1</v>
      </c>
      <c r="P291" s="23" t="n">
        <v>1</v>
      </c>
      <c r="Q291" s="23"/>
      <c r="R291" s="2" t="n">
        <f aca="false">IF(S291=C291, 1, 0)</f>
        <v>1</v>
      </c>
      <c r="S291" s="2" t="s">
        <v>85</v>
      </c>
      <c r="T291" s="2" t="n">
        <v>87</v>
      </c>
      <c r="U291" s="2" t="n">
        <v>406</v>
      </c>
      <c r="V291" s="2" t="s">
        <v>51</v>
      </c>
      <c r="W291" s="2" t="n">
        <v>9</v>
      </c>
      <c r="X291" s="2" t="n">
        <v>9</v>
      </c>
      <c r="Y291" s="2" t="n">
        <v>6.05345</v>
      </c>
      <c r="Z291" s="2" t="n">
        <v>3.62141</v>
      </c>
      <c r="AA291" s="2" t="n">
        <v>615</v>
      </c>
      <c r="AB291" s="2" t="n">
        <v>2</v>
      </c>
      <c r="AC291" s="2" t="n">
        <v>1711</v>
      </c>
      <c r="AD291" s="2" t="n">
        <v>2930</v>
      </c>
      <c r="AE291" s="2" t="n">
        <v>120</v>
      </c>
      <c r="AF291" s="2" t="n">
        <v>0</v>
      </c>
      <c r="AG291" s="2" t="n">
        <v>1</v>
      </c>
      <c r="AH291" s="2" t="n">
        <v>8.45652</v>
      </c>
      <c r="AI291" s="2" t="n">
        <v>33</v>
      </c>
      <c r="AJ291" s="2" t="n">
        <f aca="false">IF(V291="Optimal", 1, 0)</f>
        <v>1</v>
      </c>
      <c r="AK291" s="3" t="n">
        <f aca="false">IF(AJ291=1, W291-G291)</f>
        <v>0</v>
      </c>
      <c r="AL291" s="4" t="n">
        <f aca="false">IF(AND(AH291&lt;&gt;-1, G291&lt;&gt;"-", G291&lt;&gt;"."), ((G291-AH291)/G291)*100, -1)</f>
        <v>6.03866666666667</v>
      </c>
      <c r="AN291" s="5" t="n">
        <f aca="false">IF(AND(AO291=C291, A291=AP291), 1, 0)</f>
        <v>1</v>
      </c>
      <c r="AO291" s="5" t="s">
        <v>85</v>
      </c>
      <c r="AP291" s="5" t="n">
        <v>20</v>
      </c>
      <c r="AQ291" s="5" t="n">
        <v>3600</v>
      </c>
      <c r="AR291" s="5" t="n">
        <v>87</v>
      </c>
      <c r="AS291" s="5" t="n">
        <v>406</v>
      </c>
      <c r="AT291" s="28" t="n">
        <v>3600</v>
      </c>
      <c r="AU291" s="28" t="s">
        <v>54</v>
      </c>
      <c r="AV291" s="28" t="n">
        <v>79.6426</v>
      </c>
      <c r="AW291" s="28" t="n">
        <v>78</v>
      </c>
      <c r="AX291" s="28" t="n">
        <v>9</v>
      </c>
      <c r="AY291" s="28" t="n">
        <v>1533</v>
      </c>
      <c r="AZ291" s="28" t="n">
        <v>6733</v>
      </c>
      <c r="BA291" s="28" t="n">
        <v>3831</v>
      </c>
      <c r="BB291" s="6" t="n">
        <f aca="false">IF(AU291="Optimal", 1, 0)</f>
        <v>0</v>
      </c>
    </row>
    <row r="292" customFormat="false" ht="12.8" hidden="false" customHeight="false" outlineLevel="0" collapsed="false">
      <c r="A292" s="1" t="n">
        <v>20</v>
      </c>
      <c r="B292" s="23" t="s">
        <v>64</v>
      </c>
      <c r="C292" s="24" t="s">
        <v>87</v>
      </c>
      <c r="D292" s="32" t="n">
        <v>62</v>
      </c>
      <c r="E292" s="32" t="n">
        <v>159</v>
      </c>
      <c r="F292" s="32" t="n">
        <v>28</v>
      </c>
      <c r="G292" s="32" t="n">
        <v>19</v>
      </c>
      <c r="H292" s="3" t="n">
        <v>1</v>
      </c>
      <c r="I292" s="26" t="s">
        <v>53</v>
      </c>
      <c r="J292" s="26" t="n">
        <f aca="false">IF(I292="tl", 0, 1)</f>
        <v>0</v>
      </c>
      <c r="K292" s="26" t="n">
        <v>26.44</v>
      </c>
      <c r="L292" s="26" t="n">
        <f aca="false">IF(K292="tl", 0, 1)</f>
        <v>1</v>
      </c>
      <c r="M292" s="26" t="n">
        <v>2.56</v>
      </c>
      <c r="N292" s="26" t="n">
        <f aca="false">IF(M292="tl", 0, 1)</f>
        <v>1</v>
      </c>
      <c r="P292" s="23" t="n">
        <v>0</v>
      </c>
      <c r="Q292" s="23"/>
      <c r="R292" s="2" t="n">
        <f aca="false">IF(S292=C292, 1, 0)</f>
        <v>1</v>
      </c>
      <c r="S292" s="2" t="s">
        <v>87</v>
      </c>
      <c r="T292" s="2" t="n">
        <v>62</v>
      </c>
      <c r="U292" s="2" t="n">
        <v>159</v>
      </c>
      <c r="V292" s="2" t="s">
        <v>51</v>
      </c>
      <c r="W292" s="2" t="n">
        <v>19</v>
      </c>
      <c r="X292" s="2" t="n">
        <v>19</v>
      </c>
      <c r="Y292" s="2" t="n">
        <v>2.79054</v>
      </c>
      <c r="Z292" s="2" t="n">
        <v>1.4711</v>
      </c>
      <c r="AA292" s="2" t="n">
        <v>335</v>
      </c>
      <c r="AB292" s="2" t="n">
        <v>13</v>
      </c>
      <c r="AC292" s="2" t="n">
        <v>698</v>
      </c>
      <c r="AD292" s="2" t="n">
        <v>1176</v>
      </c>
      <c r="AE292" s="2" t="n">
        <v>30</v>
      </c>
      <c r="AF292" s="2" t="n">
        <v>0</v>
      </c>
      <c r="AG292" s="2" t="n">
        <v>4</v>
      </c>
      <c r="AH292" s="2" t="n">
        <v>15.6667</v>
      </c>
      <c r="AI292" s="2" t="n">
        <v>29</v>
      </c>
      <c r="AJ292" s="2" t="n">
        <f aca="false">IF(V292="Optimal", 1, 0)</f>
        <v>1</v>
      </c>
      <c r="AK292" s="3" t="n">
        <f aca="false">IF(AJ292=1, W292-G292)</f>
        <v>0</v>
      </c>
      <c r="AL292" s="4" t="n">
        <f aca="false">IF(AND(AH292&lt;&gt;-1, G292&lt;&gt;"-", G292&lt;&gt;"."), ((G292-AH292)/G292)*100, -1)</f>
        <v>17.5436842105263</v>
      </c>
      <c r="AN292" s="5" t="n">
        <f aca="false">IF(AND(AO292=C292, A292=AP292), 1, 0)</f>
        <v>1</v>
      </c>
      <c r="AO292" s="5" t="s">
        <v>87</v>
      </c>
      <c r="AP292" s="5" t="n">
        <v>20</v>
      </c>
      <c r="AQ292" s="5" t="n">
        <v>3600</v>
      </c>
      <c r="AR292" s="5" t="n">
        <v>62</v>
      </c>
      <c r="AS292" s="5" t="n">
        <v>159</v>
      </c>
      <c r="AT292" s="28" t="n">
        <v>3600</v>
      </c>
      <c r="AU292" s="28" t="s">
        <v>54</v>
      </c>
      <c r="AV292" s="28" t="n">
        <v>52.9482</v>
      </c>
      <c r="AW292" s="28" t="n">
        <v>43</v>
      </c>
      <c r="AX292" s="28" t="n">
        <v>19</v>
      </c>
      <c r="AY292" s="28" t="n">
        <v>995</v>
      </c>
      <c r="AZ292" s="28" t="n">
        <v>4126</v>
      </c>
      <c r="BA292" s="28" t="n">
        <v>33562</v>
      </c>
      <c r="BB292" s="6" t="n">
        <f aca="false">IF(AU292="Optimal", 1, 0)</f>
        <v>0</v>
      </c>
    </row>
    <row r="293" customFormat="false" ht="12.8" hidden="false" customHeight="false" outlineLevel="0" collapsed="false">
      <c r="A293" s="1" t="n">
        <v>20</v>
      </c>
      <c r="B293" s="23" t="s">
        <v>49</v>
      </c>
      <c r="C293" s="24" t="s">
        <v>88</v>
      </c>
      <c r="D293" s="32" t="n">
        <v>125</v>
      </c>
      <c r="E293" s="32" t="n">
        <v>736</v>
      </c>
      <c r="F293" s="32" t="n">
        <v>34</v>
      </c>
      <c r="G293" s="32" t="s">
        <v>77</v>
      </c>
      <c r="H293" s="3" t="n">
        <v>0</v>
      </c>
      <c r="I293" s="26" t="s">
        <v>53</v>
      </c>
      <c r="J293" s="26" t="n">
        <f aca="false">IF(I293="tl", 0, 1)</f>
        <v>0</v>
      </c>
      <c r="K293" s="26" t="s">
        <v>53</v>
      </c>
      <c r="L293" s="26" t="n">
        <f aca="false">IF(K293="tl", 0, 1)</f>
        <v>0</v>
      </c>
      <c r="M293" s="26" t="s">
        <v>53</v>
      </c>
      <c r="N293" s="26" t="n">
        <f aca="false">IF(M293="tl", 0, 1)</f>
        <v>0</v>
      </c>
      <c r="P293" s="23" t="n">
        <v>0</v>
      </c>
      <c r="Q293" s="23"/>
      <c r="R293" s="2" t="n">
        <f aca="false">IF(S293=C293, 1, 0)</f>
        <v>1</v>
      </c>
      <c r="S293" s="2" t="s">
        <v>88</v>
      </c>
      <c r="T293" s="2" t="n">
        <v>125</v>
      </c>
      <c r="U293" s="2" t="n">
        <v>736</v>
      </c>
      <c r="V293" s="2" t="s">
        <v>54</v>
      </c>
      <c r="W293" s="2" t="n">
        <v>76</v>
      </c>
      <c r="X293" s="2" t="n">
        <v>25.5094</v>
      </c>
      <c r="Y293" s="2" t="n">
        <v>1800.13</v>
      </c>
      <c r="Z293" s="2" t="n">
        <v>1312.02</v>
      </c>
      <c r="AA293" s="2" t="n">
        <v>13046</v>
      </c>
      <c r="AB293" s="2" t="n">
        <v>552</v>
      </c>
      <c r="AC293" s="2" t="n">
        <v>3069</v>
      </c>
      <c r="AD293" s="2" t="n">
        <v>5278</v>
      </c>
      <c r="AE293" s="2" t="n">
        <v>3</v>
      </c>
      <c r="AF293" s="2" t="n">
        <v>0</v>
      </c>
      <c r="AG293" s="2" t="n">
        <v>62</v>
      </c>
      <c r="AH293" s="2" t="n">
        <v>19.3089</v>
      </c>
      <c r="AI293" s="2" t="n">
        <v>94</v>
      </c>
      <c r="AJ293" s="2" t="n">
        <f aca="false">IF(V293="Optimal", 1, 0)</f>
        <v>0</v>
      </c>
      <c r="AK293" s="29" t="b">
        <f aca="false">IF(AJ293=1, W293-G293)</f>
        <v>0</v>
      </c>
      <c r="AL293" s="4" t="n">
        <f aca="false">IF(AND(AH293&lt;&gt;-1, G293&lt;&gt;"-", G293&lt;&gt;"."), ((G293-AH293)/G293)*100, -1)</f>
        <v>-1</v>
      </c>
      <c r="AN293" s="5" t="n">
        <f aca="false">IF(AND(AO293=C293, A293=AP293), 1, 0)</f>
        <v>1</v>
      </c>
      <c r="AO293" s="5" t="s">
        <v>88</v>
      </c>
      <c r="AP293" s="5" t="n">
        <v>20</v>
      </c>
      <c r="AQ293" s="5" t="n">
        <v>3600</v>
      </c>
      <c r="AR293" s="5" t="n">
        <v>125</v>
      </c>
      <c r="AS293" s="5" t="n">
        <v>736</v>
      </c>
      <c r="AT293" s="28" t="n">
        <v>3600</v>
      </c>
      <c r="AU293" s="28" t="s">
        <v>54</v>
      </c>
      <c r="AV293" s="28" t="n">
        <v>121.699</v>
      </c>
      <c r="AW293" s="28" t="n">
        <v>38</v>
      </c>
      <c r="AX293" s="28" t="n">
        <v>88</v>
      </c>
      <c r="AY293" s="28" t="n">
        <v>2221</v>
      </c>
      <c r="AZ293" s="28" t="n">
        <v>13162</v>
      </c>
      <c r="BA293" s="28" t="n">
        <v>27</v>
      </c>
      <c r="BB293" s="6" t="n">
        <f aca="false">IF(AU293="Optimal", 1, 0)</f>
        <v>0</v>
      </c>
    </row>
    <row r="294" customFormat="false" ht="12.8" hidden="false" customHeight="false" outlineLevel="0" collapsed="false">
      <c r="A294" s="1" t="n">
        <v>20</v>
      </c>
      <c r="B294" s="23" t="s">
        <v>67</v>
      </c>
      <c r="C294" s="24" t="s">
        <v>92</v>
      </c>
      <c r="D294" s="32" t="n">
        <v>72</v>
      </c>
      <c r="E294" s="32" t="n">
        <v>170</v>
      </c>
      <c r="F294" s="32" t="n">
        <v>24</v>
      </c>
      <c r="G294" s="32" t="n">
        <v>36</v>
      </c>
      <c r="H294" s="3" t="n">
        <v>1</v>
      </c>
      <c r="I294" s="25" t="s">
        <v>53</v>
      </c>
      <c r="J294" s="26" t="n">
        <f aca="false">IF(I294="tl", 0, 1)</f>
        <v>0</v>
      </c>
      <c r="K294" s="25" t="n">
        <v>436.94</v>
      </c>
      <c r="L294" s="26" t="n">
        <f aca="false">IF(K294="tl", 0, 1)</f>
        <v>1</v>
      </c>
      <c r="M294" s="25" t="s">
        <v>53</v>
      </c>
      <c r="N294" s="26" t="n">
        <f aca="false">IF(M294="tl", 0, 1)</f>
        <v>0</v>
      </c>
      <c r="P294" s="23" t="n">
        <v>0</v>
      </c>
      <c r="Q294" s="23"/>
      <c r="R294" s="2" t="n">
        <f aca="false">IF(S294=C294, 1, 0)</f>
        <v>1</v>
      </c>
      <c r="S294" s="2" t="s">
        <v>92</v>
      </c>
      <c r="T294" s="2" t="n">
        <v>72</v>
      </c>
      <c r="U294" s="2" t="n">
        <v>170</v>
      </c>
      <c r="V294" s="2" t="s">
        <v>54</v>
      </c>
      <c r="W294" s="2" t="n">
        <v>36</v>
      </c>
      <c r="X294" s="2" t="n">
        <v>26.1667</v>
      </c>
      <c r="Y294" s="2" t="n">
        <v>1800.01</v>
      </c>
      <c r="Z294" s="2" t="n">
        <v>1617.15</v>
      </c>
      <c r="AA294" s="2" t="n">
        <v>7335</v>
      </c>
      <c r="AB294" s="2" t="n">
        <v>13120</v>
      </c>
      <c r="AC294" s="2" t="n">
        <v>752</v>
      </c>
      <c r="AD294" s="2" t="n">
        <v>1263</v>
      </c>
      <c r="AE294" s="2" t="n">
        <v>70</v>
      </c>
      <c r="AF294" s="2" t="n">
        <v>0</v>
      </c>
      <c r="AG294" s="2" t="n">
        <v>30</v>
      </c>
      <c r="AH294" s="2" t="n">
        <v>19.5429</v>
      </c>
      <c r="AI294" s="2" t="n">
        <v>43</v>
      </c>
      <c r="AJ294" s="2" t="n">
        <f aca="false">IF(V294="Optimal", 1, 0)</f>
        <v>0</v>
      </c>
      <c r="AK294" s="29" t="b">
        <f aca="false">IF(AJ294=1, W294-G294)</f>
        <v>0</v>
      </c>
      <c r="AL294" s="4" t="n">
        <f aca="false">IF(AND(AH294&lt;&gt;-1, G294&lt;&gt;"-", G294&lt;&gt;"."), ((G294-AH294)/G294)*100, -1)</f>
        <v>45.7141666666667</v>
      </c>
      <c r="AN294" s="5" t="n">
        <f aca="false">IF(AND(AO294=C294, A294=AP294), 1, 0)</f>
        <v>1</v>
      </c>
      <c r="AO294" s="5" t="s">
        <v>92</v>
      </c>
      <c r="AP294" s="5" t="n">
        <v>20</v>
      </c>
      <c r="AQ294" s="5" t="n">
        <v>3600</v>
      </c>
      <c r="AR294" s="5" t="n">
        <v>72</v>
      </c>
      <c r="AS294" s="5" t="n">
        <v>170</v>
      </c>
      <c r="AT294" s="28" t="n">
        <v>3600</v>
      </c>
      <c r="AU294" s="28" t="s">
        <v>54</v>
      </c>
      <c r="AV294" s="28" t="n">
        <v>67.158</v>
      </c>
      <c r="AW294" s="28" t="n">
        <v>35</v>
      </c>
      <c r="AX294" s="28" t="n">
        <v>37</v>
      </c>
      <c r="AY294" s="28" t="n">
        <v>944</v>
      </c>
      <c r="AZ294" s="28" t="n">
        <v>3914</v>
      </c>
      <c r="BA294" s="28" t="n">
        <v>10032</v>
      </c>
      <c r="BB294" s="6" t="n">
        <f aca="false">IF(AU294="Optimal", 1, 0)</f>
        <v>0</v>
      </c>
    </row>
    <row r="295" customFormat="false" ht="12.8" hidden="false" customHeight="false" outlineLevel="0" collapsed="false">
      <c r="A295" s="1" t="n">
        <v>20</v>
      </c>
      <c r="B295" s="23" t="s">
        <v>64</v>
      </c>
      <c r="C295" s="24" t="s">
        <v>94</v>
      </c>
      <c r="D295" s="32" t="n">
        <v>115</v>
      </c>
      <c r="E295" s="32" t="n">
        <v>613</v>
      </c>
      <c r="F295" s="32" t="n">
        <v>21</v>
      </c>
      <c r="G295" s="32" t="n">
        <v>71</v>
      </c>
      <c r="H295" s="3" t="n">
        <v>1</v>
      </c>
      <c r="I295" s="26" t="s">
        <v>53</v>
      </c>
      <c r="J295" s="26" t="n">
        <f aca="false">IF(I295="tl", 0, 1)</f>
        <v>0</v>
      </c>
      <c r="K295" s="26" t="s">
        <v>53</v>
      </c>
      <c r="L295" s="26" t="n">
        <f aca="false">IF(K295="tl", 0, 1)</f>
        <v>0</v>
      </c>
      <c r="M295" s="26" t="s">
        <v>53</v>
      </c>
      <c r="N295" s="26" t="n">
        <f aca="false">IF(M295="tl", 0, 1)</f>
        <v>0</v>
      </c>
      <c r="P295" s="23" t="n">
        <v>3</v>
      </c>
      <c r="Q295" s="23"/>
      <c r="R295" s="2" t="n">
        <f aca="false">IF(S295=C295, 1, 0)</f>
        <v>1</v>
      </c>
      <c r="S295" s="2" t="s">
        <v>94</v>
      </c>
      <c r="T295" s="2" t="n">
        <v>115</v>
      </c>
      <c r="U295" s="2" t="n">
        <v>613</v>
      </c>
      <c r="V295" s="2" t="s">
        <v>54</v>
      </c>
      <c r="W295" s="2" t="n">
        <v>88</v>
      </c>
      <c r="X295" s="2" t="n">
        <v>24.5934</v>
      </c>
      <c r="Y295" s="2" t="n">
        <v>1800.01</v>
      </c>
      <c r="Z295" s="2" t="n">
        <v>1505.81</v>
      </c>
      <c r="AA295" s="2" t="n">
        <v>6373</v>
      </c>
      <c r="AB295" s="2" t="n">
        <v>1041</v>
      </c>
      <c r="AC295" s="2" t="n">
        <v>2567</v>
      </c>
      <c r="AD295" s="2" t="n">
        <v>4407</v>
      </c>
      <c r="AE295" s="2" t="n">
        <v>15</v>
      </c>
      <c r="AF295" s="2" t="n">
        <v>0</v>
      </c>
      <c r="AG295" s="2" t="n">
        <v>75</v>
      </c>
      <c r="AH295" s="2" t="n">
        <v>19.3363</v>
      </c>
      <c r="AI295" s="2" t="n">
        <v>89</v>
      </c>
      <c r="AJ295" s="2" t="n">
        <f aca="false">IF(V295="Optimal", 1, 0)</f>
        <v>0</v>
      </c>
      <c r="AK295" s="29" t="b">
        <f aca="false">IF(AJ295=1, W295-G295)</f>
        <v>0</v>
      </c>
      <c r="AL295" s="4" t="n">
        <f aca="false">IF(AND(AH295&lt;&gt;-1, G295&lt;&gt;"-", G295&lt;&gt;"."), ((G295-AH295)/G295)*100, -1)</f>
        <v>72.7657746478873</v>
      </c>
      <c r="AN295" s="5" t="n">
        <f aca="false">IF(AND(AO295=C295, A295=AP295), 1, 0)</f>
        <v>1</v>
      </c>
      <c r="AO295" s="5" t="s">
        <v>94</v>
      </c>
      <c r="AP295" s="5" t="n">
        <v>20</v>
      </c>
      <c r="AQ295" s="5" t="n">
        <v>3600</v>
      </c>
      <c r="AR295" s="5" t="n">
        <v>115</v>
      </c>
      <c r="AS295" s="5" t="n">
        <v>613</v>
      </c>
      <c r="AT295" s="28" t="n">
        <v>3600</v>
      </c>
      <c r="AU295" s="28" t="s">
        <v>54</v>
      </c>
      <c r="AV295" s="28" t="n">
        <v>110.331</v>
      </c>
      <c r="AW295" s="28" t="n">
        <v>40</v>
      </c>
      <c r="AX295" s="28" t="n">
        <v>75</v>
      </c>
      <c r="AY295" s="28" t="n">
        <v>1936</v>
      </c>
      <c r="AZ295" s="28" t="n">
        <v>10474</v>
      </c>
      <c r="BA295" s="28" t="n">
        <v>14</v>
      </c>
      <c r="BB295" s="6" t="n">
        <f aca="false">IF(AU295="Optimal", 1, 0)</f>
        <v>0</v>
      </c>
    </row>
    <row r="296" customFormat="false" ht="12.8" hidden="false" customHeight="false" outlineLevel="0" collapsed="false">
      <c r="A296" s="1" t="n">
        <v>20</v>
      </c>
      <c r="B296" s="23" t="s">
        <v>49</v>
      </c>
      <c r="C296" s="24" t="s">
        <v>95</v>
      </c>
      <c r="D296" s="32" t="n">
        <v>120</v>
      </c>
      <c r="E296" s="32" t="n">
        <v>638</v>
      </c>
      <c r="F296" s="32" t="n">
        <v>22</v>
      </c>
      <c r="G296" s="32" t="n">
        <v>67</v>
      </c>
      <c r="H296" s="3" t="n">
        <v>1</v>
      </c>
      <c r="I296" s="26" t="s">
        <v>53</v>
      </c>
      <c r="J296" s="26" t="n">
        <f aca="false">IF(I296="tl", 0, 1)</f>
        <v>0</v>
      </c>
      <c r="K296" s="26" t="s">
        <v>53</v>
      </c>
      <c r="L296" s="26" t="n">
        <f aca="false">IF(K296="tl", 0, 1)</f>
        <v>0</v>
      </c>
      <c r="M296" s="26" t="s">
        <v>53</v>
      </c>
      <c r="N296" s="26" t="n">
        <f aca="false">IF(M296="tl", 0, 1)</f>
        <v>0</v>
      </c>
      <c r="P296" s="23" t="n">
        <v>0</v>
      </c>
      <c r="Q296" s="23"/>
      <c r="R296" s="2" t="n">
        <f aca="false">IF(S296=C296, 1, 0)</f>
        <v>1</v>
      </c>
      <c r="S296" s="2" t="s">
        <v>95</v>
      </c>
      <c r="T296" s="2" t="n">
        <v>120</v>
      </c>
      <c r="U296" s="2" t="n">
        <v>638</v>
      </c>
      <c r="V296" s="2" t="s">
        <v>54</v>
      </c>
      <c r="W296" s="42" t="n">
        <v>1E+020</v>
      </c>
      <c r="X296" s="2" t="n">
        <v>23.1714</v>
      </c>
      <c r="Y296" s="2" t="n">
        <v>1800.13</v>
      </c>
      <c r="Z296" s="2" t="n">
        <v>1384.69</v>
      </c>
      <c r="AA296" s="2" t="n">
        <v>10793</v>
      </c>
      <c r="AB296" s="2" t="n">
        <v>569</v>
      </c>
      <c r="AC296" s="2" t="n">
        <v>2672</v>
      </c>
      <c r="AD296" s="2" t="n">
        <v>4587</v>
      </c>
      <c r="AE296" s="2" t="n">
        <v>9</v>
      </c>
      <c r="AF296" s="2" t="n">
        <v>0</v>
      </c>
      <c r="AG296" s="2" t="n">
        <v>84</v>
      </c>
      <c r="AH296" s="2" t="n">
        <v>19.322</v>
      </c>
      <c r="AI296" s="42" t="n">
        <v>1E+020</v>
      </c>
      <c r="AJ296" s="2" t="n">
        <f aca="false">IF(V296="Optimal", 1, 0)</f>
        <v>0</v>
      </c>
      <c r="AK296" s="29" t="b">
        <f aca="false">IF(AJ296=1, W296-G296)</f>
        <v>0</v>
      </c>
      <c r="AL296" s="4" t="n">
        <f aca="false">IF(AND(AH296&lt;&gt;-1, G296&lt;&gt;"-", G296&lt;&gt;"."), ((G296-AH296)/G296)*100, -1)</f>
        <v>71.1611940298507</v>
      </c>
      <c r="AN296" s="5" t="n">
        <f aca="false">IF(AND(AO296=C296, A296=AP296), 1, 0)</f>
        <v>1</v>
      </c>
      <c r="AO296" s="5" t="s">
        <v>95</v>
      </c>
      <c r="AP296" s="5" t="n">
        <v>20</v>
      </c>
      <c r="AQ296" s="5" t="n">
        <v>3600</v>
      </c>
      <c r="AR296" s="5" t="n">
        <v>120</v>
      </c>
      <c r="AS296" s="5" t="n">
        <v>638</v>
      </c>
      <c r="AT296" s="28" t="n">
        <v>3600</v>
      </c>
      <c r="AU296" s="28" t="s">
        <v>54</v>
      </c>
      <c r="AV296" s="28" t="n">
        <v>116.101</v>
      </c>
      <c r="AW296" s="28" t="n">
        <v>36</v>
      </c>
      <c r="AX296" s="28" t="n">
        <v>85</v>
      </c>
      <c r="AY296" s="28" t="n">
        <v>2114</v>
      </c>
      <c r="AZ296" s="28" t="n">
        <v>11429</v>
      </c>
      <c r="BA296" s="28" t="n">
        <v>34</v>
      </c>
      <c r="BB296" s="6" t="n">
        <f aca="false">IF(AU296="Optimal", 1, 0)</f>
        <v>0</v>
      </c>
    </row>
    <row r="297" customFormat="false" ht="12.8" hidden="false" customHeight="false" outlineLevel="0" collapsed="false">
      <c r="A297" s="1" t="n">
        <v>20</v>
      </c>
      <c r="B297" s="23" t="s">
        <v>67</v>
      </c>
      <c r="C297" s="24" t="s">
        <v>96</v>
      </c>
      <c r="D297" s="32" t="n">
        <v>115</v>
      </c>
      <c r="E297" s="32" t="n">
        <v>576</v>
      </c>
      <c r="F297" s="32" t="n">
        <v>33</v>
      </c>
      <c r="G297" s="32" t="s">
        <v>77</v>
      </c>
      <c r="H297" s="3" t="n">
        <v>0</v>
      </c>
      <c r="I297" s="25" t="s">
        <v>53</v>
      </c>
      <c r="J297" s="26" t="n">
        <f aca="false">IF(I297="tl", 0, 1)</f>
        <v>0</v>
      </c>
      <c r="K297" s="25" t="s">
        <v>53</v>
      </c>
      <c r="L297" s="26" t="n">
        <f aca="false">IF(K297="tl", 0, 1)</f>
        <v>0</v>
      </c>
      <c r="M297" s="25" t="s">
        <v>53</v>
      </c>
      <c r="N297" s="26" t="n">
        <f aca="false">IF(M297="tl", 0, 1)</f>
        <v>0</v>
      </c>
      <c r="P297" s="23" t="n">
        <v>0</v>
      </c>
      <c r="Q297" s="23"/>
      <c r="R297" s="2" t="n">
        <f aca="false">IF(S297=C297, 1, 0)</f>
        <v>1</v>
      </c>
      <c r="S297" s="2" t="s">
        <v>96</v>
      </c>
      <c r="T297" s="2" t="n">
        <v>115</v>
      </c>
      <c r="U297" s="2" t="n">
        <v>576</v>
      </c>
      <c r="V297" s="2" t="s">
        <v>54</v>
      </c>
      <c r="W297" s="2" t="n">
        <v>64</v>
      </c>
      <c r="X297" s="2" t="n">
        <v>25.9239</v>
      </c>
      <c r="Y297" s="2" t="n">
        <v>1800.16</v>
      </c>
      <c r="Z297" s="2" t="n">
        <v>1130.62</v>
      </c>
      <c r="AA297" s="2" t="n">
        <v>11892</v>
      </c>
      <c r="AB297" s="2" t="n">
        <v>512</v>
      </c>
      <c r="AC297" s="2" t="n">
        <v>2419</v>
      </c>
      <c r="AD297" s="2" t="n">
        <v>4148</v>
      </c>
      <c r="AE297" s="2" t="n">
        <v>1</v>
      </c>
      <c r="AF297" s="2" t="n">
        <v>0</v>
      </c>
      <c r="AG297" s="2" t="n">
        <v>60</v>
      </c>
      <c r="AH297" s="2" t="n">
        <v>19.3363</v>
      </c>
      <c r="AI297" s="2" t="n">
        <v>81</v>
      </c>
      <c r="AJ297" s="2" t="n">
        <f aca="false">IF(V297="Optimal", 1, 0)</f>
        <v>0</v>
      </c>
      <c r="AK297" s="29" t="b">
        <f aca="false">IF(AJ297=1, W297-G297)</f>
        <v>0</v>
      </c>
      <c r="AL297" s="4" t="n">
        <f aca="false">IF(AND(AH297&lt;&gt;-1, G297&lt;&gt;"-", G297&lt;&gt;"."), ((G297-AH297)/G297)*100, -1)</f>
        <v>-1</v>
      </c>
      <c r="AN297" s="5" t="n">
        <f aca="false">IF(AND(AO297=C297, A297=AP297), 1, 0)</f>
        <v>1</v>
      </c>
      <c r="AO297" s="5" t="s">
        <v>96</v>
      </c>
      <c r="AP297" s="5" t="n">
        <v>20</v>
      </c>
      <c r="AQ297" s="5" t="n">
        <v>3600</v>
      </c>
      <c r="AR297" s="5" t="n">
        <v>115</v>
      </c>
      <c r="AS297" s="5" t="n">
        <v>576</v>
      </c>
      <c r="AT297" s="28" t="n">
        <v>3600.03</v>
      </c>
      <c r="AU297" s="28" t="s">
        <v>54</v>
      </c>
      <c r="AV297" s="28" t="n">
        <v>107.844</v>
      </c>
      <c r="AW297" s="28" t="n">
        <v>53</v>
      </c>
      <c r="AX297" s="28" t="n">
        <v>62</v>
      </c>
      <c r="AY297" s="28" t="n">
        <v>1939</v>
      </c>
      <c r="AZ297" s="28" t="n">
        <v>10280</v>
      </c>
      <c r="BA297" s="28" t="n">
        <v>581</v>
      </c>
      <c r="BB297" s="6" t="n">
        <f aca="false">IF(AU297="Optimal", 1, 0)</f>
        <v>0</v>
      </c>
    </row>
    <row r="298" customFormat="false" ht="12.8" hidden="false" customHeight="false" outlineLevel="0" collapsed="false">
      <c r="A298" s="1" t="n">
        <v>20</v>
      </c>
      <c r="B298" s="23" t="s">
        <v>49</v>
      </c>
      <c r="C298" s="24" t="s">
        <v>97</v>
      </c>
      <c r="D298" s="32" t="n">
        <v>74</v>
      </c>
      <c r="E298" s="32" t="n">
        <v>301</v>
      </c>
      <c r="F298" s="32" t="n">
        <v>27</v>
      </c>
      <c r="G298" s="32" t="n">
        <v>9</v>
      </c>
      <c r="H298" s="3" t="n">
        <v>1</v>
      </c>
      <c r="I298" s="26" t="n">
        <v>5.31</v>
      </c>
      <c r="J298" s="26" t="n">
        <f aca="false">IF(I298="tl", 0, 1)</f>
        <v>1</v>
      </c>
      <c r="K298" s="26" t="n">
        <v>10.64</v>
      </c>
      <c r="L298" s="26" t="n">
        <f aca="false">IF(K298="tl", 0, 1)</f>
        <v>1</v>
      </c>
      <c r="M298" s="26" t="n">
        <v>0.08</v>
      </c>
      <c r="N298" s="26" t="n">
        <f aca="false">IF(M298="tl", 0, 1)</f>
        <v>1</v>
      </c>
      <c r="P298" s="23" t="n">
        <v>1</v>
      </c>
      <c r="Q298" s="23"/>
      <c r="R298" s="2" t="n">
        <f aca="false">IF(S298=C298, 1, 0)</f>
        <v>1</v>
      </c>
      <c r="S298" s="2" t="s">
        <v>97</v>
      </c>
      <c r="T298" s="2" t="n">
        <v>74</v>
      </c>
      <c r="U298" s="2" t="n">
        <v>301</v>
      </c>
      <c r="V298" s="2" t="s">
        <v>51</v>
      </c>
      <c r="W298" s="2" t="n">
        <v>9</v>
      </c>
      <c r="X298" s="2" t="n">
        <v>9</v>
      </c>
      <c r="Y298" s="2" t="n">
        <v>0.84288</v>
      </c>
      <c r="Z298" s="2" t="n">
        <v>0.263285</v>
      </c>
      <c r="AA298" s="2" t="n">
        <v>412</v>
      </c>
      <c r="AB298" s="2" t="n">
        <v>1</v>
      </c>
      <c r="AC298" s="2" t="n">
        <v>1278</v>
      </c>
      <c r="AD298" s="2" t="n">
        <v>2182</v>
      </c>
      <c r="AE298" s="2" t="n">
        <v>37</v>
      </c>
      <c r="AF298" s="2" t="n">
        <v>0</v>
      </c>
      <c r="AG298" s="2" t="n">
        <v>0</v>
      </c>
      <c r="AH298" s="2" t="n">
        <v>-1</v>
      </c>
      <c r="AI298" s="2" t="n">
        <v>-1</v>
      </c>
      <c r="AJ298" s="2" t="n">
        <f aca="false">IF(V298="Optimal", 1, 0)</f>
        <v>1</v>
      </c>
      <c r="AK298" s="3" t="n">
        <f aca="false">IF(AJ298=1, W298-G298)</f>
        <v>0</v>
      </c>
      <c r="AL298" s="4" t="n">
        <f aca="false">IF(AND(AH298&lt;&gt;-1, G298&lt;&gt;"-", G298&lt;&gt;"."), ((G298-AH298)/G298)*100, -1)</f>
        <v>-1</v>
      </c>
      <c r="AN298" s="5" t="n">
        <f aca="false">IF(AND(AO298=C298, A298=AP298), 1, 0)</f>
        <v>1</v>
      </c>
      <c r="AO298" s="5" t="s">
        <v>97</v>
      </c>
      <c r="AP298" s="5" t="n">
        <v>20</v>
      </c>
      <c r="AQ298" s="5" t="n">
        <v>3600</v>
      </c>
      <c r="AR298" s="5" t="n">
        <v>74</v>
      </c>
      <c r="AS298" s="5" t="n">
        <v>301</v>
      </c>
      <c r="AT298" s="28" t="n">
        <v>3600</v>
      </c>
      <c r="AU298" s="28" t="s">
        <v>54</v>
      </c>
      <c r="AV298" s="28" t="n">
        <v>67.6531</v>
      </c>
      <c r="AW298" s="28" t="n">
        <v>65</v>
      </c>
      <c r="AX298" s="28" t="n">
        <v>9</v>
      </c>
      <c r="AY298" s="28" t="n">
        <v>1268</v>
      </c>
      <c r="AZ298" s="28" t="n">
        <v>5205</v>
      </c>
      <c r="BA298" s="28" t="n">
        <v>15098</v>
      </c>
      <c r="BB298" s="6" t="n">
        <f aca="false">IF(AU298="Optimal", 1, 0)</f>
        <v>0</v>
      </c>
    </row>
    <row r="299" customFormat="false" ht="12.8" hidden="false" customHeight="false" outlineLevel="0" collapsed="false">
      <c r="A299" s="1" t="n">
        <v>20</v>
      </c>
      <c r="B299" s="23" t="s">
        <v>67</v>
      </c>
      <c r="C299" s="24" t="s">
        <v>99</v>
      </c>
      <c r="D299" s="32" t="n">
        <v>59</v>
      </c>
      <c r="E299" s="32" t="n">
        <v>329</v>
      </c>
      <c r="F299" s="32" t="n">
        <v>20</v>
      </c>
      <c r="G299" s="32" t="n">
        <v>38</v>
      </c>
      <c r="H299" s="3" t="n">
        <v>1</v>
      </c>
      <c r="I299" s="25" t="n">
        <v>0.08</v>
      </c>
      <c r="J299" s="26" t="n">
        <f aca="false">IF(I299="tl", 0, 1)</f>
        <v>1</v>
      </c>
      <c r="K299" s="25" t="n">
        <v>0.07</v>
      </c>
      <c r="L299" s="26" t="n">
        <f aca="false">IF(K299="tl", 0, 1)</f>
        <v>1</v>
      </c>
      <c r="M299" s="25" t="n">
        <v>0.01</v>
      </c>
      <c r="N299" s="26" t="n">
        <f aca="false">IF(M299="tl", 0, 1)</f>
        <v>1</v>
      </c>
      <c r="P299" s="23" t="n">
        <v>34</v>
      </c>
      <c r="Q299" s="23"/>
      <c r="R299" s="2" t="n">
        <f aca="false">IF(S299=C299, 1, 0)</f>
        <v>1</v>
      </c>
      <c r="S299" s="2" t="s">
        <v>99</v>
      </c>
      <c r="T299" s="2" t="n">
        <v>59</v>
      </c>
      <c r="U299" s="2" t="n">
        <v>329</v>
      </c>
      <c r="V299" s="2" t="s">
        <v>51</v>
      </c>
      <c r="W299" s="2" t="n">
        <v>38</v>
      </c>
      <c r="X299" s="2" t="n">
        <v>38</v>
      </c>
      <c r="Y299" s="2" t="n">
        <v>84.4181</v>
      </c>
      <c r="Z299" s="2" t="n">
        <v>67.3741</v>
      </c>
      <c r="AA299" s="2" t="n">
        <v>1343</v>
      </c>
      <c r="AB299" s="2" t="n">
        <v>271</v>
      </c>
      <c r="AC299" s="2" t="n">
        <v>1375</v>
      </c>
      <c r="AD299" s="2" t="n">
        <v>2363</v>
      </c>
      <c r="AE299" s="2" t="n">
        <v>15</v>
      </c>
      <c r="AF299" s="2" t="n">
        <v>5</v>
      </c>
      <c r="AG299" s="2" t="n">
        <v>24</v>
      </c>
      <c r="AH299" s="2" t="n">
        <v>19.3256</v>
      </c>
      <c r="AI299" s="42" t="n">
        <v>1E+020</v>
      </c>
      <c r="AJ299" s="2" t="n">
        <f aca="false">IF(V299="Optimal", 1, 0)</f>
        <v>1</v>
      </c>
      <c r="AK299" s="3" t="n">
        <f aca="false">IF(AJ299=1, W299-G299)</f>
        <v>0</v>
      </c>
      <c r="AL299" s="4" t="n">
        <f aca="false">IF(AND(AH299&lt;&gt;-1, G299&lt;&gt;"-", G299&lt;&gt;"."), ((G299-AH299)/G299)*100, -1)</f>
        <v>49.1431578947368</v>
      </c>
      <c r="AN299" s="5" t="n">
        <f aca="false">IF(AND(AO299=C299, A299=AP299), 1, 0)</f>
        <v>1</v>
      </c>
      <c r="AO299" s="5" t="s">
        <v>99</v>
      </c>
      <c r="AP299" s="5" t="n">
        <v>20</v>
      </c>
      <c r="AQ299" s="5" t="n">
        <v>3600</v>
      </c>
      <c r="AR299" s="5" t="n">
        <v>59</v>
      </c>
      <c r="AS299" s="5" t="n">
        <v>329</v>
      </c>
      <c r="AT299" s="28" t="n">
        <v>207.711</v>
      </c>
      <c r="AU299" s="28" t="s">
        <v>51</v>
      </c>
      <c r="AV299" s="28" t="n">
        <v>21</v>
      </c>
      <c r="AW299" s="28" t="n">
        <v>21</v>
      </c>
      <c r="AX299" s="28" t="n">
        <v>38</v>
      </c>
      <c r="AY299" s="28" t="n">
        <v>598</v>
      </c>
      <c r="AZ299" s="28" t="n">
        <v>2076</v>
      </c>
      <c r="BA299" s="28" t="n">
        <v>869</v>
      </c>
      <c r="BB299" s="6" t="n">
        <f aca="false">IF(AU299="Optimal", 1, 0)</f>
        <v>1</v>
      </c>
    </row>
    <row r="300" customFormat="false" ht="12.8" hidden="false" customHeight="false" outlineLevel="0" collapsed="false">
      <c r="A300" s="1" t="n">
        <v>20</v>
      </c>
      <c r="B300" s="23" t="s">
        <v>64</v>
      </c>
      <c r="C300" s="24" t="s">
        <v>100</v>
      </c>
      <c r="D300" s="32" t="n">
        <v>198</v>
      </c>
      <c r="E300" s="32" t="n">
        <v>2742</v>
      </c>
      <c r="F300" s="32" t="n">
        <v>40</v>
      </c>
      <c r="G300" s="32" t="s">
        <v>77</v>
      </c>
      <c r="H300" s="3" t="n">
        <v>0</v>
      </c>
      <c r="I300" s="26" t="s">
        <v>53</v>
      </c>
      <c r="J300" s="26" t="n">
        <f aca="false">IF(I300="tl", 0, 1)</f>
        <v>0</v>
      </c>
      <c r="K300" s="26" t="s">
        <v>53</v>
      </c>
      <c r="L300" s="26" t="n">
        <f aca="false">IF(K300="tl", 0, 1)</f>
        <v>0</v>
      </c>
      <c r="M300" s="26" t="s">
        <v>53</v>
      </c>
      <c r="N300" s="26" t="n">
        <f aca="false">IF(M300="tl", 0, 1)</f>
        <v>0</v>
      </c>
      <c r="P300" s="23" t="n">
        <v>0</v>
      </c>
      <c r="Q300" s="23"/>
      <c r="R300" s="2" t="n">
        <f aca="false">IF(S300=C300, 1, 0)</f>
        <v>1</v>
      </c>
      <c r="S300" s="2" t="s">
        <v>100</v>
      </c>
      <c r="T300" s="2" t="n">
        <v>198</v>
      </c>
      <c r="U300" s="2" t="n">
        <v>2742</v>
      </c>
      <c r="V300" s="2" t="s">
        <v>54</v>
      </c>
      <c r="W300" s="2" t="n">
        <v>153</v>
      </c>
      <c r="X300" s="2" t="n">
        <v>18.7016</v>
      </c>
      <c r="Y300" s="2" t="n">
        <v>1800</v>
      </c>
      <c r="Z300" s="2" t="n">
        <v>203.298</v>
      </c>
      <c r="AA300" s="2" t="n">
        <v>5177</v>
      </c>
      <c r="AB300" s="2" t="n">
        <v>3</v>
      </c>
      <c r="AC300" s="2" t="n">
        <v>11166</v>
      </c>
      <c r="AD300" s="2" t="n">
        <v>19393</v>
      </c>
      <c r="AE300" s="2" t="n">
        <v>85</v>
      </c>
      <c r="AF300" s="2" t="n">
        <v>0</v>
      </c>
      <c r="AG300" s="2" t="n">
        <v>1</v>
      </c>
      <c r="AH300" s="2" t="n">
        <v>18.7016</v>
      </c>
      <c r="AI300" s="2" t="n">
        <v>153</v>
      </c>
      <c r="AJ300" s="2" t="n">
        <f aca="false">IF(V300="Optimal", 1, 0)</f>
        <v>0</v>
      </c>
      <c r="AK300" s="29" t="b">
        <f aca="false">IF(AJ300=1, W300-G300)</f>
        <v>0</v>
      </c>
      <c r="AL300" s="4" t="n">
        <f aca="false">IF(AND(AH300&lt;&gt;-1, G300&lt;&gt;"-", G300&lt;&gt;"."), ((G300-AH300)/G300)*100, -1)</f>
        <v>-1</v>
      </c>
      <c r="AN300" s="5" t="n">
        <f aca="false">IF(AND(AO300=C300, A300=AP300), 1, 0)</f>
        <v>1</v>
      </c>
      <c r="AO300" s="5" t="s">
        <v>100</v>
      </c>
      <c r="AP300" s="5" t="n">
        <v>20</v>
      </c>
      <c r="AQ300" s="5" t="n">
        <v>3600</v>
      </c>
      <c r="AR300" s="5" t="n">
        <v>198</v>
      </c>
      <c r="AS300" s="5" t="n">
        <v>2742</v>
      </c>
      <c r="AT300" s="28" t="n">
        <v>3600.01</v>
      </c>
      <c r="AU300" s="28" t="s">
        <v>54</v>
      </c>
      <c r="AV300" s="28" t="n">
        <v>196.93</v>
      </c>
      <c r="AW300" s="28" t="n">
        <v>110</v>
      </c>
      <c r="AX300" s="28" t="n">
        <v>88</v>
      </c>
      <c r="AY300" s="28" t="n">
        <v>3748</v>
      </c>
      <c r="AZ300" s="28" t="n">
        <v>51647</v>
      </c>
      <c r="BA300" s="28" t="n">
        <v>1</v>
      </c>
      <c r="BB300" s="6" t="n">
        <f aca="false">IF(AU300="Optimal", 1, 0)</f>
        <v>0</v>
      </c>
    </row>
    <row r="301" customFormat="false" ht="12.8" hidden="false" customHeight="false" outlineLevel="0" collapsed="false">
      <c r="A301" s="1" t="n">
        <v>20</v>
      </c>
      <c r="B301" s="23" t="s">
        <v>49</v>
      </c>
      <c r="C301" s="24" t="s">
        <v>101</v>
      </c>
      <c r="D301" s="32" t="n">
        <v>80</v>
      </c>
      <c r="E301" s="32" t="n">
        <v>254</v>
      </c>
      <c r="F301" s="32" t="n">
        <v>38</v>
      </c>
      <c r="G301" s="32" t="n">
        <v>4</v>
      </c>
      <c r="H301" s="3" t="n">
        <v>1</v>
      </c>
      <c r="I301" s="26" t="n">
        <v>4.56</v>
      </c>
      <c r="J301" s="26" t="n">
        <f aca="false">IF(I301="tl", 0, 1)</f>
        <v>1</v>
      </c>
      <c r="K301" s="26" t="n">
        <v>7.15</v>
      </c>
      <c r="L301" s="26" t="n">
        <f aca="false">IF(K301="tl", 0, 1)</f>
        <v>1</v>
      </c>
      <c r="M301" s="26" t="n">
        <v>0.01</v>
      </c>
      <c r="N301" s="26" t="n">
        <f aca="false">IF(M301="tl", 0, 1)</f>
        <v>1</v>
      </c>
      <c r="P301" s="23" t="n">
        <v>0</v>
      </c>
      <c r="Q301" s="23"/>
      <c r="R301" s="2" t="n">
        <f aca="false">IF(S301=C301, 1, 0)</f>
        <v>1</v>
      </c>
      <c r="S301" s="2" t="s">
        <v>101</v>
      </c>
      <c r="T301" s="2" t="n">
        <v>80</v>
      </c>
      <c r="U301" s="2" t="n">
        <v>254</v>
      </c>
      <c r="V301" s="2" t="s">
        <v>51</v>
      </c>
      <c r="W301" s="2" t="n">
        <v>4</v>
      </c>
      <c r="X301" s="2" t="n">
        <v>4</v>
      </c>
      <c r="Y301" s="2" t="n">
        <v>0.623766</v>
      </c>
      <c r="Z301" s="2" t="n">
        <v>0.262091</v>
      </c>
      <c r="AA301" s="2" t="n">
        <v>387</v>
      </c>
      <c r="AB301" s="2" t="n">
        <v>1</v>
      </c>
      <c r="AC301" s="2" t="n">
        <v>1096</v>
      </c>
      <c r="AD301" s="2" t="n">
        <v>1859</v>
      </c>
      <c r="AE301" s="2" t="n">
        <v>53</v>
      </c>
      <c r="AF301" s="2" t="n">
        <v>0</v>
      </c>
      <c r="AG301" s="2" t="n">
        <v>0</v>
      </c>
      <c r="AH301" s="2" t="n">
        <v>-1</v>
      </c>
      <c r="AI301" s="2" t="n">
        <v>-1</v>
      </c>
      <c r="AJ301" s="2" t="n">
        <f aca="false">IF(V301="Optimal", 1, 0)</f>
        <v>1</v>
      </c>
      <c r="AK301" s="3" t="n">
        <f aca="false">IF(AJ301=1, W301-G301)</f>
        <v>0</v>
      </c>
      <c r="AL301" s="4" t="n">
        <f aca="false">IF(AND(AH301&lt;&gt;-1, G301&lt;&gt;"-", G301&lt;&gt;"."), ((G301-AH301)/G301)*100, -1)</f>
        <v>-1</v>
      </c>
      <c r="AN301" s="5" t="n">
        <f aca="false">IF(AND(AO301=C301, A301=AP301), 1, 0)</f>
        <v>1</v>
      </c>
      <c r="AO301" s="5" t="s">
        <v>101</v>
      </c>
      <c r="AP301" s="5" t="n">
        <v>20</v>
      </c>
      <c r="AQ301" s="5" t="n">
        <v>3600</v>
      </c>
      <c r="AR301" s="5" t="n">
        <v>80</v>
      </c>
      <c r="AS301" s="5" t="n">
        <v>254</v>
      </c>
      <c r="AT301" s="28" t="n">
        <v>769.501</v>
      </c>
      <c r="AU301" s="28" t="s">
        <v>51</v>
      </c>
      <c r="AV301" s="28" t="n">
        <v>76</v>
      </c>
      <c r="AW301" s="28" t="n">
        <v>76</v>
      </c>
      <c r="AX301" s="28" t="n">
        <v>4</v>
      </c>
      <c r="AY301" s="28" t="n">
        <v>1410</v>
      </c>
      <c r="AZ301" s="28" t="n">
        <v>4113</v>
      </c>
      <c r="BA301" s="28" t="n">
        <v>465</v>
      </c>
      <c r="BB301" s="6" t="n">
        <f aca="false">IF(AU301="Optimal", 1, 0)</f>
        <v>1</v>
      </c>
    </row>
    <row r="302" customFormat="false" ht="12.8" hidden="false" customHeight="false" outlineLevel="0" collapsed="false">
      <c r="A302" s="1" t="n">
        <v>20</v>
      </c>
      <c r="B302" s="23" t="s">
        <v>64</v>
      </c>
      <c r="C302" s="24" t="s">
        <v>102</v>
      </c>
      <c r="D302" s="32" t="n">
        <v>34</v>
      </c>
      <c r="E302" s="32" t="n">
        <v>78</v>
      </c>
      <c r="F302" s="32" t="n">
        <v>20</v>
      </c>
      <c r="G302" s="32" t="n">
        <v>11</v>
      </c>
      <c r="H302" s="3" t="n">
        <v>1</v>
      </c>
      <c r="I302" s="26" t="n">
        <v>0.03</v>
      </c>
      <c r="J302" s="26" t="n">
        <f aca="false">IF(I302="tl", 0, 1)</f>
        <v>1</v>
      </c>
      <c r="K302" s="26" t="n">
        <v>0.08</v>
      </c>
      <c r="L302" s="26" t="n">
        <f aca="false">IF(K302="tl", 0, 1)</f>
        <v>1</v>
      </c>
      <c r="M302" s="26" t="n">
        <v>0.01</v>
      </c>
      <c r="N302" s="26" t="n">
        <f aca="false">IF(M302="tl", 0, 1)</f>
        <v>1</v>
      </c>
      <c r="P302" s="23" t="n">
        <v>7</v>
      </c>
      <c r="Q302" s="23"/>
      <c r="R302" s="2" t="n">
        <f aca="false">IF(S302=C302, 1, 0)</f>
        <v>1</v>
      </c>
      <c r="S302" s="2" t="s">
        <v>102</v>
      </c>
      <c r="T302" s="2" t="n">
        <v>34</v>
      </c>
      <c r="U302" s="2" t="n">
        <v>78</v>
      </c>
      <c r="V302" s="2" t="s">
        <v>51</v>
      </c>
      <c r="W302" s="2" t="n">
        <v>11</v>
      </c>
      <c r="X302" s="2" t="n">
        <v>11</v>
      </c>
      <c r="Y302" s="2" t="n">
        <v>0.084924</v>
      </c>
      <c r="Z302" s="2" t="n">
        <v>0.02901</v>
      </c>
      <c r="AA302" s="2" t="n">
        <v>115</v>
      </c>
      <c r="AB302" s="2" t="n">
        <v>1</v>
      </c>
      <c r="AC302" s="2" t="n">
        <v>346</v>
      </c>
      <c r="AD302" s="2" t="n">
        <v>581</v>
      </c>
      <c r="AE302" s="2" t="n">
        <v>3</v>
      </c>
      <c r="AF302" s="2" t="n">
        <v>0</v>
      </c>
      <c r="AG302" s="2" t="n">
        <v>0</v>
      </c>
      <c r="AH302" s="2" t="n">
        <v>-1</v>
      </c>
      <c r="AI302" s="2" t="n">
        <v>-1</v>
      </c>
      <c r="AJ302" s="2" t="n">
        <f aca="false">IF(V302="Optimal", 1, 0)</f>
        <v>1</v>
      </c>
      <c r="AK302" s="3" t="n">
        <f aca="false">IF(AJ302=1, W302-G302)</f>
        <v>0</v>
      </c>
      <c r="AL302" s="4" t="n">
        <f aca="false">IF(AND(AH302&lt;&gt;-1, G302&lt;&gt;"-", G302&lt;&gt;"."), ((G302-AH302)/G302)*100, -1)</f>
        <v>-1</v>
      </c>
      <c r="AN302" s="5" t="n">
        <f aca="false">IF(AND(AO302=C302, A302=AP302), 1, 0)</f>
        <v>1</v>
      </c>
      <c r="AO302" s="5" t="s">
        <v>102</v>
      </c>
      <c r="AP302" s="5" t="n">
        <v>20</v>
      </c>
      <c r="AQ302" s="5" t="n">
        <v>3600</v>
      </c>
      <c r="AR302" s="5" t="n">
        <v>34</v>
      </c>
      <c r="AS302" s="5" t="n">
        <v>78</v>
      </c>
      <c r="AT302" s="28" t="n">
        <v>40.1914</v>
      </c>
      <c r="AU302" s="28" t="s">
        <v>51</v>
      </c>
      <c r="AV302" s="28" t="n">
        <v>23</v>
      </c>
      <c r="AW302" s="28" t="n">
        <v>23</v>
      </c>
      <c r="AX302" s="28" t="n">
        <v>11</v>
      </c>
      <c r="AY302" s="28" t="n">
        <v>358</v>
      </c>
      <c r="AZ302" s="28" t="n">
        <v>646</v>
      </c>
      <c r="BA302" s="28" t="n">
        <v>7</v>
      </c>
      <c r="BB302" s="6" t="n">
        <f aca="false">IF(AU302="Optimal", 1, 0)</f>
        <v>1</v>
      </c>
    </row>
    <row r="303" customFormat="false" ht="12.8" hidden="false" customHeight="false" outlineLevel="0" collapsed="false">
      <c r="A303" s="1" t="n">
        <v>20</v>
      </c>
      <c r="B303" s="23" t="s">
        <v>67</v>
      </c>
      <c r="C303" s="24" t="s">
        <v>103</v>
      </c>
      <c r="D303" s="32" t="n">
        <v>100</v>
      </c>
      <c r="E303" s="32" t="n">
        <v>1844</v>
      </c>
      <c r="F303" s="32" t="n">
        <v>36</v>
      </c>
      <c r="G303" s="32" t="n">
        <v>32</v>
      </c>
      <c r="H303" s="3" t="n">
        <v>1</v>
      </c>
      <c r="I303" s="25" t="n">
        <v>5.78</v>
      </c>
      <c r="J303" s="26" t="n">
        <f aca="false">IF(I303="tl", 0, 1)</f>
        <v>1</v>
      </c>
      <c r="K303" s="25" t="s">
        <v>53</v>
      </c>
      <c r="L303" s="26" t="n">
        <f aca="false">IF(K303="tl", 0, 1)</f>
        <v>0</v>
      </c>
      <c r="M303" s="25" t="n">
        <v>7.77</v>
      </c>
      <c r="N303" s="26" t="n">
        <f aca="false">IF(M303="tl", 0, 1)</f>
        <v>1</v>
      </c>
      <c r="P303" s="23" t="n">
        <v>2</v>
      </c>
      <c r="Q303" s="23"/>
      <c r="R303" s="2" t="n">
        <f aca="false">IF(S303=C303, 1, 0)</f>
        <v>1</v>
      </c>
      <c r="S303" s="2" t="s">
        <v>103</v>
      </c>
      <c r="T303" s="2" t="n">
        <v>100</v>
      </c>
      <c r="U303" s="2" t="n">
        <v>1844</v>
      </c>
      <c r="V303" s="2" t="s">
        <v>54</v>
      </c>
      <c r="W303" s="2" t="n">
        <v>78</v>
      </c>
      <c r="X303" s="2" t="n">
        <v>21.3958</v>
      </c>
      <c r="Y303" s="2" t="n">
        <v>1800.02</v>
      </c>
      <c r="Z303" s="2" t="n">
        <v>123.762</v>
      </c>
      <c r="AA303" s="2" t="n">
        <v>7211</v>
      </c>
      <c r="AB303" s="2" t="n">
        <v>13</v>
      </c>
      <c r="AC303" s="2" t="n">
        <v>7476</v>
      </c>
      <c r="AD303" s="2" t="n">
        <v>13009</v>
      </c>
      <c r="AE303" s="2" t="n">
        <v>2</v>
      </c>
      <c r="AF303" s="2" t="n">
        <v>0</v>
      </c>
      <c r="AG303" s="2" t="n">
        <v>8</v>
      </c>
      <c r="AH303" s="2" t="n">
        <v>19.3878</v>
      </c>
      <c r="AI303" s="2" t="n">
        <v>78</v>
      </c>
      <c r="AJ303" s="2" t="n">
        <f aca="false">IF(V303="Optimal", 1, 0)</f>
        <v>0</v>
      </c>
      <c r="AK303" s="29" t="b">
        <f aca="false">IF(AJ303=1, W303-G303)</f>
        <v>0</v>
      </c>
      <c r="AL303" s="4" t="n">
        <f aca="false">IF(AND(AH303&lt;&gt;-1, G303&lt;&gt;"-", G303&lt;&gt;"."), ((G303-AH303)/G303)*100, -1)</f>
        <v>39.413125</v>
      </c>
      <c r="AN303" s="5" t="n">
        <f aca="false">IF(AND(AO303=C303, A303=AP303), 1, 0)</f>
        <v>1</v>
      </c>
      <c r="AO303" s="5" t="s">
        <v>103</v>
      </c>
      <c r="AP303" s="5" t="n">
        <v>20</v>
      </c>
      <c r="AQ303" s="5" t="n">
        <v>3600</v>
      </c>
      <c r="AR303" s="5" t="n">
        <v>100</v>
      </c>
      <c r="AS303" s="5" t="n">
        <v>1844</v>
      </c>
      <c r="AT303" s="28" t="n">
        <v>3600</v>
      </c>
      <c r="AU303" s="28" t="s">
        <v>54</v>
      </c>
      <c r="AV303" s="28" t="n">
        <v>96.4386</v>
      </c>
      <c r="AW303" s="28" t="n">
        <v>57</v>
      </c>
      <c r="AX303" s="28" t="n">
        <v>43</v>
      </c>
      <c r="AY303" s="28" t="n">
        <v>1739</v>
      </c>
      <c r="AZ303" s="28" t="n">
        <v>31238</v>
      </c>
      <c r="BA303" s="28" t="n">
        <v>3</v>
      </c>
      <c r="BB303" s="6" t="n">
        <f aca="false">IF(AU303="Optimal", 1, 0)</f>
        <v>0</v>
      </c>
    </row>
    <row r="304" customFormat="false" ht="12.8" hidden="false" customHeight="false" outlineLevel="0" collapsed="false">
      <c r="A304" s="1" t="n">
        <v>20</v>
      </c>
      <c r="B304" s="23" t="s">
        <v>67</v>
      </c>
      <c r="C304" s="24" t="s">
        <v>111</v>
      </c>
      <c r="D304" s="32" t="n">
        <v>120</v>
      </c>
      <c r="E304" s="32" t="n">
        <v>2972</v>
      </c>
      <c r="F304" s="32" t="n">
        <v>36</v>
      </c>
      <c r="G304" s="32" t="n">
        <v>32</v>
      </c>
      <c r="H304" s="3" t="n">
        <v>1</v>
      </c>
      <c r="I304" s="25" t="n">
        <v>7.43</v>
      </c>
      <c r="J304" s="26" t="n">
        <f aca="false">IF(I304="tl", 0, 1)</f>
        <v>1</v>
      </c>
      <c r="K304" s="25" t="s">
        <v>53</v>
      </c>
      <c r="L304" s="26" t="n">
        <f aca="false">IF(K304="tl", 0, 1)</f>
        <v>0</v>
      </c>
      <c r="M304" s="25" t="n">
        <v>7.18</v>
      </c>
      <c r="N304" s="26" t="n">
        <f aca="false">IF(M304="tl", 0, 1)</f>
        <v>1</v>
      </c>
      <c r="P304" s="23" t="n">
        <v>2</v>
      </c>
      <c r="Q304" s="23"/>
      <c r="R304" s="2" t="n">
        <f aca="false">IF(S304=C304, 1, 0)</f>
        <v>1</v>
      </c>
      <c r="S304" s="2" t="s">
        <v>111</v>
      </c>
      <c r="T304" s="2" t="n">
        <v>120</v>
      </c>
      <c r="U304" s="2" t="n">
        <v>2972</v>
      </c>
      <c r="V304" s="2" t="s">
        <v>54</v>
      </c>
      <c r="W304" s="2" t="n">
        <v>47</v>
      </c>
      <c r="X304" s="2" t="n">
        <v>20.3248</v>
      </c>
      <c r="Y304" s="2" t="n">
        <v>1800</v>
      </c>
      <c r="Z304" s="2" t="n">
        <v>434.779</v>
      </c>
      <c r="AA304" s="2" t="n">
        <v>5981</v>
      </c>
      <c r="AB304" s="2" t="n">
        <v>50</v>
      </c>
      <c r="AC304" s="2" t="n">
        <v>12008</v>
      </c>
      <c r="AD304" s="2" t="n">
        <v>20925</v>
      </c>
      <c r="AE304" s="2" t="n">
        <v>7</v>
      </c>
      <c r="AF304" s="2" t="n">
        <v>0</v>
      </c>
      <c r="AG304" s="2" t="n">
        <v>39</v>
      </c>
      <c r="AH304" s="2" t="n">
        <v>19.322</v>
      </c>
      <c r="AI304" s="2" t="n">
        <v>92</v>
      </c>
      <c r="AJ304" s="2" t="n">
        <f aca="false">IF(V304="Optimal", 1, 0)</f>
        <v>0</v>
      </c>
      <c r="AK304" s="29" t="b">
        <f aca="false">IF(AJ304=1, W304-G304)</f>
        <v>0</v>
      </c>
      <c r="AL304" s="4" t="n">
        <f aca="false">IF(AND(AH304&lt;&gt;-1, G304&lt;&gt;"-", G304&lt;&gt;"."), ((G304-AH304)/G304)*100, -1)</f>
        <v>39.61875</v>
      </c>
      <c r="AN304" s="5" t="n">
        <f aca="false">IF(AND(AO304=C304, A304=AP304), 1, 0)</f>
        <v>1</v>
      </c>
      <c r="AO304" s="5" t="s">
        <v>111</v>
      </c>
      <c r="AP304" s="5" t="n">
        <v>20</v>
      </c>
      <c r="AQ304" s="5" t="n">
        <v>3600</v>
      </c>
      <c r="AR304" s="5" t="n">
        <v>120</v>
      </c>
      <c r="AS304" s="5" t="n">
        <v>2972</v>
      </c>
      <c r="AT304" s="28" t="n">
        <v>3600</v>
      </c>
      <c r="AU304" s="28" t="s">
        <v>54</v>
      </c>
      <c r="AV304" s="28" t="n">
        <v>114.289</v>
      </c>
      <c r="AW304" s="28" t="n">
        <v>62</v>
      </c>
      <c r="AX304" s="28" t="n">
        <v>58</v>
      </c>
      <c r="AY304" s="28" t="n">
        <v>1858</v>
      </c>
      <c r="AZ304" s="28" t="n">
        <v>40047</v>
      </c>
      <c r="BA304" s="28" t="n">
        <v>1</v>
      </c>
      <c r="BB304" s="6" t="n">
        <f aca="false">IF(AU304="Optimal", 1, 0)</f>
        <v>0</v>
      </c>
    </row>
    <row r="305" customFormat="false" ht="12.8" hidden="false" customHeight="false" outlineLevel="0" collapsed="false">
      <c r="A305" s="1" t="n">
        <v>20</v>
      </c>
      <c r="B305" s="23" t="s">
        <v>67</v>
      </c>
      <c r="C305" s="24" t="s">
        <v>116</v>
      </c>
      <c r="D305" s="32" t="n">
        <v>120</v>
      </c>
      <c r="E305" s="32" t="n">
        <v>3387</v>
      </c>
      <c r="F305" s="32" t="n">
        <v>23</v>
      </c>
      <c r="G305" s="32" t="n">
        <v>41</v>
      </c>
      <c r="H305" s="3" t="n">
        <v>1</v>
      </c>
      <c r="I305" s="25" t="n">
        <v>12.04</v>
      </c>
      <c r="J305" s="26" t="n">
        <f aca="false">IF(I305="tl", 0, 1)</f>
        <v>1</v>
      </c>
      <c r="K305" s="25" t="s">
        <v>53</v>
      </c>
      <c r="L305" s="26" t="n">
        <f aca="false">IF(K305="tl", 0, 1)</f>
        <v>0</v>
      </c>
      <c r="M305" s="25" t="n">
        <v>4.71</v>
      </c>
      <c r="N305" s="26" t="n">
        <f aca="false">IF(M305="tl", 0, 1)</f>
        <v>1</v>
      </c>
      <c r="P305" s="23" t="n">
        <v>23</v>
      </c>
      <c r="Q305" s="23"/>
      <c r="R305" s="2" t="n">
        <f aca="false">IF(S305=C305, 1, 0)</f>
        <v>1</v>
      </c>
      <c r="S305" s="2" t="s">
        <v>116</v>
      </c>
      <c r="T305" s="2" t="n">
        <v>120</v>
      </c>
      <c r="U305" s="2" t="n">
        <v>3387</v>
      </c>
      <c r="V305" s="2" t="s">
        <v>54</v>
      </c>
      <c r="W305" s="42" t="n">
        <v>1E+020</v>
      </c>
      <c r="X305" s="2" t="n">
        <v>16.3596</v>
      </c>
      <c r="Y305" s="2" t="n">
        <v>1800.03</v>
      </c>
      <c r="Z305" s="2" t="n">
        <v>201.048</v>
      </c>
      <c r="AA305" s="2" t="n">
        <v>7117</v>
      </c>
      <c r="AB305" s="2" t="n">
        <v>7</v>
      </c>
      <c r="AC305" s="2" t="n">
        <v>13668</v>
      </c>
      <c r="AD305" s="2" t="n">
        <v>23830</v>
      </c>
      <c r="AE305" s="2" t="n">
        <v>12</v>
      </c>
      <c r="AF305" s="2" t="n">
        <v>0</v>
      </c>
      <c r="AG305" s="2" t="n">
        <v>5</v>
      </c>
      <c r="AH305" s="2" t="n">
        <v>16.3596</v>
      </c>
      <c r="AI305" s="42" t="n">
        <v>1E+020</v>
      </c>
      <c r="AJ305" s="2" t="n">
        <f aca="false">IF(V305="Optimal", 1, 0)</f>
        <v>0</v>
      </c>
      <c r="AK305" s="29" t="b">
        <f aca="false">IF(AJ305=1, W305-G305)</f>
        <v>0</v>
      </c>
      <c r="AL305" s="4" t="n">
        <f aca="false">IF(AND(AH305&lt;&gt;-1, G305&lt;&gt;"-", G305&lt;&gt;"."), ((G305-AH305)/G305)*100, -1)</f>
        <v>60.0985365853659</v>
      </c>
      <c r="AN305" s="5" t="n">
        <f aca="false">IF(AND(AO305=C305, A305=AP305), 1, 0)</f>
        <v>1</v>
      </c>
      <c r="AO305" s="5" t="s">
        <v>116</v>
      </c>
      <c r="AP305" s="5" t="n">
        <v>20</v>
      </c>
      <c r="AQ305" s="5" t="n">
        <v>3600</v>
      </c>
      <c r="AR305" s="5" t="n">
        <v>120</v>
      </c>
      <c r="AS305" s="5" t="n">
        <v>3387</v>
      </c>
      <c r="AT305" s="28" t="n">
        <v>3600</v>
      </c>
      <c r="AU305" s="28" t="s">
        <v>54</v>
      </c>
      <c r="AV305" s="28" t="n">
        <v>107.933</v>
      </c>
      <c r="AW305" s="28" t="n">
        <v>75</v>
      </c>
      <c r="AX305" s="28" t="n">
        <v>45</v>
      </c>
      <c r="AY305" s="28" t="n">
        <v>1402</v>
      </c>
      <c r="AZ305" s="28" t="n">
        <v>33304</v>
      </c>
      <c r="BA305" s="28" t="n">
        <v>792</v>
      </c>
      <c r="BB305" s="6" t="n">
        <f aca="false">IF(AU305="Optimal", 1, 0)</f>
        <v>0</v>
      </c>
    </row>
    <row r="306" customFormat="false" ht="12.8" hidden="false" customHeight="false" outlineLevel="0" collapsed="false">
      <c r="A306" s="1" t="n">
        <v>20</v>
      </c>
      <c r="B306" s="23" t="s">
        <v>67</v>
      </c>
      <c r="C306" s="24" t="s">
        <v>117</v>
      </c>
      <c r="D306" s="32" t="n">
        <v>125</v>
      </c>
      <c r="E306" s="32" t="n">
        <v>390</v>
      </c>
      <c r="F306" s="32" t="n">
        <v>37</v>
      </c>
      <c r="G306" s="32" t="s">
        <v>77</v>
      </c>
      <c r="H306" s="3" t="n">
        <v>0</v>
      </c>
      <c r="I306" s="25" t="s">
        <v>53</v>
      </c>
      <c r="J306" s="26" t="n">
        <f aca="false">IF(I306="tl", 0, 1)</f>
        <v>0</v>
      </c>
      <c r="K306" s="25" t="s">
        <v>53</v>
      </c>
      <c r="L306" s="26" t="n">
        <f aca="false">IF(K306="tl", 0, 1)</f>
        <v>0</v>
      </c>
      <c r="M306" s="25" t="s">
        <v>53</v>
      </c>
      <c r="N306" s="26" t="n">
        <f aca="false">IF(M306="tl", 0, 1)</f>
        <v>0</v>
      </c>
      <c r="P306" s="23" t="n">
        <v>0</v>
      </c>
      <c r="Q306" s="23"/>
      <c r="R306" s="2" t="n">
        <f aca="false">IF(S306=C306, 1, 0)</f>
        <v>1</v>
      </c>
      <c r="S306" s="2" t="s">
        <v>117</v>
      </c>
      <c r="T306" s="2" t="n">
        <v>125</v>
      </c>
      <c r="U306" s="2" t="n">
        <v>390</v>
      </c>
      <c r="V306" s="2" t="s">
        <v>54</v>
      </c>
      <c r="W306" s="2" t="n">
        <v>75</v>
      </c>
      <c r="X306" s="2" t="n">
        <v>21.5133</v>
      </c>
      <c r="Y306" s="2" t="n">
        <v>1800.01</v>
      </c>
      <c r="Z306" s="2" t="n">
        <v>1357.23</v>
      </c>
      <c r="AA306" s="2" t="n">
        <v>12830</v>
      </c>
      <c r="AB306" s="2" t="n">
        <v>22</v>
      </c>
      <c r="AC306" s="2" t="n">
        <v>1685</v>
      </c>
      <c r="AD306" s="2" t="n">
        <v>2856</v>
      </c>
      <c r="AE306" s="2" t="n">
        <v>55</v>
      </c>
      <c r="AF306" s="2" t="n">
        <v>0</v>
      </c>
      <c r="AG306" s="2" t="n">
        <v>10</v>
      </c>
      <c r="AH306" s="2" t="n">
        <v>19.3089</v>
      </c>
      <c r="AI306" s="2" t="n">
        <v>75</v>
      </c>
      <c r="AJ306" s="2" t="n">
        <f aca="false">IF(V306="Optimal", 1, 0)</f>
        <v>0</v>
      </c>
      <c r="AK306" s="29" t="b">
        <f aca="false">IF(AJ306=1, W306-G306)</f>
        <v>0</v>
      </c>
      <c r="AL306" s="4" t="n">
        <f aca="false">IF(AND(AH306&lt;&gt;-1, G306&lt;&gt;"-", G306&lt;&gt;"."), ((G306-AH306)/G306)*100, -1)</f>
        <v>-1</v>
      </c>
      <c r="AN306" s="5" t="n">
        <f aca="false">IF(AND(AO306=C306, A306=AP306), 1, 0)</f>
        <v>1</v>
      </c>
      <c r="AO306" s="5" t="s">
        <v>117</v>
      </c>
      <c r="AP306" s="5" t="n">
        <v>20</v>
      </c>
      <c r="AQ306" s="5" t="n">
        <v>3600</v>
      </c>
      <c r="AR306" s="5" t="n">
        <v>125</v>
      </c>
      <c r="AS306" s="5" t="n">
        <v>390</v>
      </c>
      <c r="AT306" s="28" t="n">
        <v>3600</v>
      </c>
      <c r="AU306" s="28" t="s">
        <v>54</v>
      </c>
      <c r="AV306" s="28" t="n">
        <v>122.413</v>
      </c>
      <c r="AW306" s="28" t="n">
        <v>68</v>
      </c>
      <c r="AX306" s="28" t="n">
        <v>57</v>
      </c>
      <c r="AY306" s="28" t="n">
        <v>2310</v>
      </c>
      <c r="AZ306" s="28" t="n">
        <v>7928</v>
      </c>
      <c r="BA306" s="28" t="n">
        <v>309</v>
      </c>
      <c r="BB306" s="6" t="n">
        <f aca="false">IF(AU306="Optimal", 1, 0)</f>
        <v>0</v>
      </c>
    </row>
    <row r="307" customFormat="false" ht="12.8" hidden="false" customHeight="false" outlineLevel="0" collapsed="false">
      <c r="A307" s="1" t="n">
        <v>20</v>
      </c>
      <c r="B307" s="23" t="s">
        <v>67</v>
      </c>
      <c r="C307" s="24" t="s">
        <v>120</v>
      </c>
      <c r="D307" s="32" t="n">
        <v>125</v>
      </c>
      <c r="E307" s="32" t="n">
        <v>1022</v>
      </c>
      <c r="F307" s="32" t="n">
        <v>20</v>
      </c>
      <c r="G307" s="32" t="n">
        <v>102</v>
      </c>
      <c r="H307" s="3" t="n">
        <v>1</v>
      </c>
      <c r="I307" s="25" t="s">
        <v>53</v>
      </c>
      <c r="J307" s="26" t="n">
        <f aca="false">IF(I307="tl", 0, 1)</f>
        <v>0</v>
      </c>
      <c r="K307" s="25" t="n">
        <v>38.72</v>
      </c>
      <c r="L307" s="26" t="n">
        <f aca="false">IF(K307="tl", 0, 1)</f>
        <v>1</v>
      </c>
      <c r="M307" s="25" t="n">
        <v>34.61</v>
      </c>
      <c r="N307" s="26" t="n">
        <f aca="false">IF(M307="tl", 0, 1)</f>
        <v>1</v>
      </c>
      <c r="P307" s="23" t="n">
        <v>73</v>
      </c>
      <c r="Q307" s="23"/>
      <c r="R307" s="2" t="n">
        <f aca="false">IF(S307=C307, 1, 0)</f>
        <v>1</v>
      </c>
      <c r="S307" s="2" t="s">
        <v>120</v>
      </c>
      <c r="T307" s="2" t="n">
        <v>125</v>
      </c>
      <c r="U307" s="2" t="n">
        <v>1022</v>
      </c>
      <c r="V307" s="2" t="s">
        <v>54</v>
      </c>
      <c r="W307" s="42" t="n">
        <v>1E+020</v>
      </c>
      <c r="X307" s="2" t="n">
        <v>19.3089</v>
      </c>
      <c r="Y307" s="2" t="n">
        <v>1800</v>
      </c>
      <c r="Z307" s="2" t="n">
        <v>817.134</v>
      </c>
      <c r="AA307" s="2" t="n">
        <v>11630</v>
      </c>
      <c r="AB307" s="2" t="n">
        <v>7</v>
      </c>
      <c r="AC307" s="2" t="n">
        <v>4213</v>
      </c>
      <c r="AD307" s="2" t="n">
        <v>7280</v>
      </c>
      <c r="AE307" s="2" t="n">
        <v>23</v>
      </c>
      <c r="AF307" s="2" t="n">
        <v>0</v>
      </c>
      <c r="AG307" s="2" t="n">
        <v>5</v>
      </c>
      <c r="AH307" s="2" t="n">
        <v>19.3089</v>
      </c>
      <c r="AI307" s="42" t="n">
        <v>1E+020</v>
      </c>
      <c r="AJ307" s="2" t="n">
        <f aca="false">IF(V307="Optimal", 1, 0)</f>
        <v>0</v>
      </c>
      <c r="AK307" s="29" t="b">
        <f aca="false">IF(AJ307=1, W307-G307)</f>
        <v>0</v>
      </c>
      <c r="AL307" s="4" t="n">
        <f aca="false">IF(AND(AH307&lt;&gt;-1, G307&lt;&gt;"-", G307&lt;&gt;"."), ((G307-AH307)/G307)*100, -1)</f>
        <v>81.069705882353</v>
      </c>
      <c r="AN307" s="5" t="n">
        <f aca="false">IF(AND(AO307=C307, A307=AP307), 1, 0)</f>
        <v>1</v>
      </c>
      <c r="AO307" s="5" t="s">
        <v>120</v>
      </c>
      <c r="AP307" s="5" t="n">
        <v>20</v>
      </c>
      <c r="AQ307" s="5" t="n">
        <v>3600</v>
      </c>
      <c r="AR307" s="5" t="n">
        <v>125</v>
      </c>
      <c r="AS307" s="5" t="n">
        <v>1022</v>
      </c>
      <c r="AT307" s="28" t="n">
        <v>3600</v>
      </c>
      <c r="AU307" s="28" t="s">
        <v>54</v>
      </c>
      <c r="AV307" s="28" t="n">
        <v>117.111</v>
      </c>
      <c r="AW307" s="28" t="s">
        <v>175</v>
      </c>
      <c r="AX307" s="28" t="s">
        <v>175</v>
      </c>
      <c r="AY307" s="28" t="n">
        <v>1938</v>
      </c>
      <c r="AZ307" s="28" t="n">
        <v>16198</v>
      </c>
      <c r="BA307" s="28" t="n">
        <v>111</v>
      </c>
      <c r="BB307" s="6" t="n">
        <f aca="false">IF(AU307="Optimal", 1, 0)</f>
        <v>0</v>
      </c>
    </row>
    <row r="308" customFormat="false" ht="12.8" hidden="false" customHeight="false" outlineLevel="0" collapsed="false">
      <c r="A308" s="1" t="n">
        <v>20</v>
      </c>
      <c r="B308" s="23" t="s">
        <v>67</v>
      </c>
      <c r="C308" s="24" t="s">
        <v>126</v>
      </c>
      <c r="D308" s="32" t="n">
        <v>125</v>
      </c>
      <c r="E308" s="32" t="n">
        <v>444</v>
      </c>
      <c r="F308" s="32" t="n">
        <v>39</v>
      </c>
      <c r="G308" s="32" t="n">
        <v>24</v>
      </c>
      <c r="H308" s="3" t="n">
        <v>1</v>
      </c>
      <c r="I308" s="25" t="s">
        <v>53</v>
      </c>
      <c r="J308" s="26" t="n">
        <f aca="false">IF(I308="tl", 0, 1)</f>
        <v>0</v>
      </c>
      <c r="K308" s="25" t="n">
        <v>39.01</v>
      </c>
      <c r="L308" s="26" t="n">
        <f aca="false">IF(K308="tl", 0, 1)</f>
        <v>1</v>
      </c>
      <c r="M308" s="25" t="s">
        <v>53</v>
      </c>
      <c r="N308" s="26" t="n">
        <f aca="false">IF(M308="tl", 0, 1)</f>
        <v>0</v>
      </c>
      <c r="P308" s="23" t="n">
        <v>0</v>
      </c>
      <c r="Q308" s="23"/>
      <c r="R308" s="2" t="n">
        <f aca="false">IF(S308=C308, 1, 0)</f>
        <v>1</v>
      </c>
      <c r="S308" s="2" t="s">
        <v>126</v>
      </c>
      <c r="T308" s="2" t="n">
        <v>125</v>
      </c>
      <c r="U308" s="2" t="n">
        <v>444</v>
      </c>
      <c r="V308" s="2" t="s">
        <v>54</v>
      </c>
      <c r="W308" s="2" t="n">
        <v>24</v>
      </c>
      <c r="X308" s="2" t="n">
        <v>22</v>
      </c>
      <c r="Y308" s="2" t="n">
        <v>1800.18</v>
      </c>
      <c r="Z308" s="2" t="n">
        <v>1235.78</v>
      </c>
      <c r="AA308" s="2" t="n">
        <v>13342</v>
      </c>
      <c r="AB308" s="2" t="n">
        <v>500</v>
      </c>
      <c r="AC308" s="2" t="n">
        <v>1901</v>
      </c>
      <c r="AD308" s="2" t="n">
        <v>3234</v>
      </c>
      <c r="AE308" s="2" t="n">
        <v>106</v>
      </c>
      <c r="AF308" s="2" t="n">
        <v>0</v>
      </c>
      <c r="AG308" s="2" t="n">
        <v>22</v>
      </c>
      <c r="AH308" s="2" t="n">
        <v>19</v>
      </c>
      <c r="AI308" s="2" t="n">
        <v>48</v>
      </c>
      <c r="AJ308" s="2" t="n">
        <f aca="false">IF(V308="Optimal", 1, 0)</f>
        <v>0</v>
      </c>
      <c r="AK308" s="29" t="b">
        <f aca="false">IF(AJ308=1, W308-G308)</f>
        <v>0</v>
      </c>
      <c r="AL308" s="4" t="n">
        <f aca="false">IF(AND(AH308&lt;&gt;-1, G308&lt;&gt;"-", G308&lt;&gt;"."), ((G308-AH308)/G308)*100, -1)</f>
        <v>20.8333333333333</v>
      </c>
      <c r="AN308" s="5" t="n">
        <f aca="false">IF(AND(AO308=C308, A308=AP308), 1, 0)</f>
        <v>1</v>
      </c>
      <c r="AO308" s="5" t="s">
        <v>126</v>
      </c>
      <c r="AP308" s="5" t="n">
        <v>20</v>
      </c>
      <c r="AQ308" s="5" t="n">
        <v>3600</v>
      </c>
      <c r="AR308" s="5" t="n">
        <v>125</v>
      </c>
      <c r="AS308" s="5" t="n">
        <v>444</v>
      </c>
      <c r="AT308" s="28" t="n">
        <v>3600</v>
      </c>
      <c r="AU308" s="28" t="s">
        <v>54</v>
      </c>
      <c r="AV308" s="28" t="n">
        <v>122.741</v>
      </c>
      <c r="AW308" s="28" t="n">
        <v>93</v>
      </c>
      <c r="AX308" s="28" t="n">
        <v>32</v>
      </c>
      <c r="AY308" s="28" t="n">
        <v>2296</v>
      </c>
      <c r="AZ308" s="28" t="n">
        <v>10015</v>
      </c>
      <c r="BA308" s="28" t="n">
        <v>1216</v>
      </c>
      <c r="BB308" s="6" t="n">
        <f aca="false">IF(AU308="Optimal", 1, 0)</f>
        <v>0</v>
      </c>
    </row>
    <row r="309" customFormat="false" ht="12.8" hidden="false" customHeight="false" outlineLevel="0" collapsed="false">
      <c r="A309" s="1" t="n">
        <v>20</v>
      </c>
      <c r="B309" s="23" t="s">
        <v>67</v>
      </c>
      <c r="C309" s="24" t="s">
        <v>127</v>
      </c>
      <c r="D309" s="32" t="n">
        <v>125</v>
      </c>
      <c r="E309" s="32" t="n">
        <v>386</v>
      </c>
      <c r="F309" s="32" t="n">
        <v>45</v>
      </c>
      <c r="G309" s="32" t="n">
        <v>27</v>
      </c>
      <c r="H309" s="3" t="n">
        <v>1</v>
      </c>
      <c r="I309" s="25" t="s">
        <v>53</v>
      </c>
      <c r="J309" s="26" t="n">
        <f aca="false">IF(I309="tl", 0, 1)</f>
        <v>0</v>
      </c>
      <c r="K309" s="25" t="n">
        <v>41.12</v>
      </c>
      <c r="L309" s="26" t="n">
        <f aca="false">IF(K309="tl", 0, 1)</f>
        <v>1</v>
      </c>
      <c r="M309" s="25" t="s">
        <v>53</v>
      </c>
      <c r="N309" s="26" t="n">
        <f aca="false">IF(M309="tl", 0, 1)</f>
        <v>0</v>
      </c>
      <c r="P309" s="23" t="n">
        <v>0</v>
      </c>
      <c r="Q309" s="23"/>
      <c r="R309" s="2" t="n">
        <f aca="false">IF(S309=C309, 1, 0)</f>
        <v>1</v>
      </c>
      <c r="S309" s="2" t="s">
        <v>127</v>
      </c>
      <c r="T309" s="2" t="n">
        <v>125</v>
      </c>
      <c r="U309" s="2" t="n">
        <v>386</v>
      </c>
      <c r="V309" s="2" t="s">
        <v>54</v>
      </c>
      <c r="W309" s="2" t="n">
        <v>27</v>
      </c>
      <c r="X309" s="2" t="n">
        <v>22.1695</v>
      </c>
      <c r="Y309" s="2" t="n">
        <v>1800.13</v>
      </c>
      <c r="Z309" s="2" t="n">
        <v>1445.68</v>
      </c>
      <c r="AA309" s="2" t="n">
        <v>12450</v>
      </c>
      <c r="AB309" s="2" t="n">
        <v>393</v>
      </c>
      <c r="AC309" s="2" t="n">
        <v>1669</v>
      </c>
      <c r="AD309" s="2" t="n">
        <v>2828</v>
      </c>
      <c r="AE309" s="2" t="n">
        <v>151</v>
      </c>
      <c r="AF309" s="2" t="n">
        <v>0</v>
      </c>
      <c r="AG309" s="2" t="n">
        <v>18</v>
      </c>
      <c r="AH309" s="2" t="n">
        <v>18.8288</v>
      </c>
      <c r="AI309" s="2" t="n">
        <v>49</v>
      </c>
      <c r="AJ309" s="2" t="n">
        <f aca="false">IF(V309="Optimal", 1, 0)</f>
        <v>0</v>
      </c>
      <c r="AK309" s="29" t="b">
        <f aca="false">IF(AJ309=1, W309-G309)</f>
        <v>0</v>
      </c>
      <c r="AL309" s="4" t="n">
        <f aca="false">IF(AND(AH309&lt;&gt;-1, G309&lt;&gt;"-", G309&lt;&gt;"."), ((G309-AH309)/G309)*100, -1)</f>
        <v>30.2637037037037</v>
      </c>
      <c r="AN309" s="5" t="n">
        <f aca="false">IF(AND(AO309=C309, A309=AP309), 1, 0)</f>
        <v>1</v>
      </c>
      <c r="AO309" s="5" t="s">
        <v>127</v>
      </c>
      <c r="AP309" s="5" t="n">
        <v>20</v>
      </c>
      <c r="AQ309" s="5" t="n">
        <v>3600</v>
      </c>
      <c r="AR309" s="5" t="n">
        <v>125</v>
      </c>
      <c r="AS309" s="5" t="n">
        <v>386</v>
      </c>
      <c r="AT309" s="28" t="n">
        <v>3600</v>
      </c>
      <c r="AU309" s="28" t="s">
        <v>54</v>
      </c>
      <c r="AV309" s="28" t="n">
        <v>121.269</v>
      </c>
      <c r="AW309" s="28" t="n">
        <v>94</v>
      </c>
      <c r="AX309" s="28" t="n">
        <v>31</v>
      </c>
      <c r="AY309" s="28" t="n">
        <v>2310</v>
      </c>
      <c r="AZ309" s="28" t="n">
        <v>9041</v>
      </c>
      <c r="BA309" s="28" t="n">
        <v>977</v>
      </c>
      <c r="BB309" s="6" t="n">
        <f aca="false">IF(AU309="Optimal", 1, 0)</f>
        <v>0</v>
      </c>
    </row>
    <row r="310" customFormat="false" ht="12.8" hidden="false" customHeight="false" outlineLevel="0" collapsed="false">
      <c r="A310" s="1" t="n">
        <v>20</v>
      </c>
      <c r="B310" s="23" t="s">
        <v>67</v>
      </c>
      <c r="C310" s="24" t="s">
        <v>128</v>
      </c>
      <c r="D310" s="32" t="n">
        <v>80</v>
      </c>
      <c r="E310" s="32" t="n">
        <v>1201</v>
      </c>
      <c r="F310" s="32" t="n">
        <v>31</v>
      </c>
      <c r="G310" s="32" t="n">
        <v>31</v>
      </c>
      <c r="H310" s="3" t="n">
        <v>1</v>
      </c>
      <c r="I310" s="25" t="n">
        <v>2.75</v>
      </c>
      <c r="J310" s="26" t="n">
        <f aca="false">IF(I310="tl", 0, 1)</f>
        <v>1</v>
      </c>
      <c r="K310" s="25" t="n">
        <v>1538.51</v>
      </c>
      <c r="L310" s="26" t="n">
        <f aca="false">IF(K310="tl", 0, 1)</f>
        <v>1</v>
      </c>
      <c r="M310" s="25" t="n">
        <v>1.94</v>
      </c>
      <c r="N310" s="26" t="n">
        <f aca="false">IF(M310="tl", 0, 1)</f>
        <v>1</v>
      </c>
      <c r="P310" s="23" t="n">
        <v>8</v>
      </c>
      <c r="Q310" s="23"/>
      <c r="R310" s="2" t="n">
        <f aca="false">IF(S310=C310, 1, 0)</f>
        <v>1</v>
      </c>
      <c r="S310" s="2" t="s">
        <v>128</v>
      </c>
      <c r="T310" s="2" t="n">
        <v>80</v>
      </c>
      <c r="U310" s="2" t="n">
        <v>1201</v>
      </c>
      <c r="V310" s="2" t="s">
        <v>54</v>
      </c>
      <c r="W310" s="2" t="n">
        <v>44</v>
      </c>
      <c r="X310" s="2" t="n">
        <v>21.2</v>
      </c>
      <c r="Y310" s="2" t="n">
        <v>1800</v>
      </c>
      <c r="Z310" s="2" t="n">
        <v>119.815</v>
      </c>
      <c r="AA310" s="2" t="n">
        <v>7170</v>
      </c>
      <c r="AB310" s="2" t="n">
        <v>36</v>
      </c>
      <c r="AC310" s="2" t="n">
        <v>4884</v>
      </c>
      <c r="AD310" s="2" t="n">
        <v>8488</v>
      </c>
      <c r="AE310" s="2" t="n">
        <v>14</v>
      </c>
      <c r="AF310" s="2" t="n">
        <v>0</v>
      </c>
      <c r="AG310" s="2" t="n">
        <v>27</v>
      </c>
      <c r="AH310" s="2" t="n">
        <v>19.4872</v>
      </c>
      <c r="AI310" s="2" t="n">
        <v>57</v>
      </c>
      <c r="AJ310" s="2" t="n">
        <f aca="false">IF(V310="Optimal", 1, 0)</f>
        <v>0</v>
      </c>
      <c r="AK310" s="29" t="b">
        <f aca="false">IF(AJ310=1, W310-G310)</f>
        <v>0</v>
      </c>
      <c r="AL310" s="4" t="n">
        <f aca="false">IF(AND(AH310&lt;&gt;-1, G310&lt;&gt;"-", G310&lt;&gt;"."), ((G310-AH310)/G310)*100, -1)</f>
        <v>37.138064516129</v>
      </c>
      <c r="AN310" s="5" t="n">
        <f aca="false">IF(AND(AO310=C310, A310=AP310), 1, 0)</f>
        <v>1</v>
      </c>
      <c r="AO310" s="5" t="s">
        <v>128</v>
      </c>
      <c r="AP310" s="5" t="n">
        <v>20</v>
      </c>
      <c r="AQ310" s="5" t="n">
        <v>3600</v>
      </c>
      <c r="AR310" s="5" t="n">
        <v>80</v>
      </c>
      <c r="AS310" s="5" t="n">
        <v>1201</v>
      </c>
      <c r="AT310" s="28" t="n">
        <v>3600</v>
      </c>
      <c r="AU310" s="28" t="s">
        <v>54</v>
      </c>
      <c r="AV310" s="28" t="n">
        <v>72.0952</v>
      </c>
      <c r="AW310" s="28" t="n">
        <v>49</v>
      </c>
      <c r="AX310" s="28" t="n">
        <v>31</v>
      </c>
      <c r="AY310" s="28" t="n">
        <v>1313</v>
      </c>
      <c r="AZ310" s="28" t="n">
        <v>20153</v>
      </c>
      <c r="BA310" s="28" t="n">
        <v>661</v>
      </c>
      <c r="BB310" s="6" t="n">
        <f aca="false">IF(AU310="Optimal", 1, 0)</f>
        <v>0</v>
      </c>
    </row>
    <row r="311" customFormat="false" ht="12.8" hidden="false" customHeight="false" outlineLevel="0" collapsed="false">
      <c r="A311" s="1" t="n">
        <v>20</v>
      </c>
      <c r="B311" s="23" t="s">
        <v>64</v>
      </c>
      <c r="C311" s="24" t="s">
        <v>134</v>
      </c>
      <c r="D311" s="32" t="n">
        <v>77</v>
      </c>
      <c r="E311" s="32" t="n">
        <v>254</v>
      </c>
      <c r="F311" s="32" t="n">
        <v>35</v>
      </c>
      <c r="G311" s="32" t="n">
        <v>5</v>
      </c>
      <c r="H311" s="3" t="n">
        <v>1</v>
      </c>
      <c r="I311" s="26" t="n">
        <v>6.47</v>
      </c>
      <c r="J311" s="26" t="n">
        <f aca="false">IF(I311="tl", 0, 1)</f>
        <v>1</v>
      </c>
      <c r="K311" s="26" t="n">
        <v>8.53</v>
      </c>
      <c r="L311" s="26" t="n">
        <f aca="false">IF(K311="tl", 0, 1)</f>
        <v>1</v>
      </c>
      <c r="M311" s="26" t="n">
        <v>0.02</v>
      </c>
      <c r="N311" s="26" t="n">
        <f aca="false">IF(M311="tl", 0, 1)</f>
        <v>1</v>
      </c>
      <c r="P311" s="23" t="n">
        <v>0</v>
      </c>
      <c r="Q311" s="23"/>
      <c r="R311" s="2" t="n">
        <f aca="false">IF(S311=C311, 1, 0)</f>
        <v>1</v>
      </c>
      <c r="S311" s="2" t="s">
        <v>134</v>
      </c>
      <c r="T311" s="2" t="n">
        <v>77</v>
      </c>
      <c r="U311" s="2" t="n">
        <v>254</v>
      </c>
      <c r="V311" s="2" t="s">
        <v>51</v>
      </c>
      <c r="W311" s="2" t="n">
        <v>5</v>
      </c>
      <c r="X311" s="2" t="n">
        <v>5</v>
      </c>
      <c r="Y311" s="2" t="n">
        <v>4.64888</v>
      </c>
      <c r="Z311" s="2" t="n">
        <v>1.94386</v>
      </c>
      <c r="AA311" s="2" t="n">
        <v>597</v>
      </c>
      <c r="AB311" s="2" t="n">
        <v>7</v>
      </c>
      <c r="AC311" s="2" t="n">
        <v>1093</v>
      </c>
      <c r="AD311" s="2" t="n">
        <v>1856</v>
      </c>
      <c r="AE311" s="2" t="n">
        <v>49</v>
      </c>
      <c r="AF311" s="2" t="n">
        <v>0</v>
      </c>
      <c r="AG311" s="2" t="n">
        <v>6</v>
      </c>
      <c r="AH311" s="2" t="n">
        <v>4.5</v>
      </c>
      <c r="AI311" s="2" t="n">
        <v>6</v>
      </c>
      <c r="AJ311" s="2" t="n">
        <f aca="false">IF(V311="Optimal", 1, 0)</f>
        <v>1</v>
      </c>
      <c r="AK311" s="3" t="n">
        <f aca="false">IF(AJ311=1, W311-G311)</f>
        <v>0</v>
      </c>
      <c r="AL311" s="4" t="n">
        <f aca="false">IF(AND(AH311&lt;&gt;-1, G311&lt;&gt;"-", G311&lt;&gt;"."), ((G311-AH311)/G311)*100, -1)</f>
        <v>10</v>
      </c>
      <c r="AN311" s="5" t="n">
        <f aca="false">IF(AND(AO311=C311, A311=AP311), 1, 0)</f>
        <v>1</v>
      </c>
      <c r="AO311" s="5" t="s">
        <v>134</v>
      </c>
      <c r="AP311" s="5" t="n">
        <v>20</v>
      </c>
      <c r="AQ311" s="5" t="n">
        <v>3600</v>
      </c>
      <c r="AR311" s="5" t="n">
        <v>77</v>
      </c>
      <c r="AS311" s="5" t="n">
        <v>254</v>
      </c>
      <c r="AT311" s="28" t="n">
        <v>3600</v>
      </c>
      <c r="AU311" s="28" t="s">
        <v>54</v>
      </c>
      <c r="AV311" s="28" t="n">
        <v>74.6827</v>
      </c>
      <c r="AW311" s="28" t="n">
        <v>72</v>
      </c>
      <c r="AX311" s="28" t="n">
        <v>5</v>
      </c>
      <c r="AY311" s="28" t="n">
        <v>1303</v>
      </c>
      <c r="AZ311" s="28" t="n">
        <v>4707</v>
      </c>
      <c r="BA311" s="28" t="n">
        <v>3605</v>
      </c>
      <c r="BB311" s="6" t="n">
        <f aca="false">IF(AU311="Optimal", 1, 0)</f>
        <v>0</v>
      </c>
    </row>
    <row r="312" customFormat="false" ht="12.8" hidden="false" customHeight="false" outlineLevel="0" collapsed="false">
      <c r="A312" s="1" t="n">
        <v>20</v>
      </c>
      <c r="B312" s="23" t="s">
        <v>49</v>
      </c>
      <c r="C312" s="24" t="s">
        <v>138</v>
      </c>
      <c r="D312" s="32" t="n">
        <v>128</v>
      </c>
      <c r="E312" s="32" t="n">
        <v>387</v>
      </c>
      <c r="F312" s="32" t="n">
        <v>44</v>
      </c>
      <c r="G312" s="32" t="n">
        <v>11</v>
      </c>
      <c r="H312" s="3" t="n">
        <v>1</v>
      </c>
      <c r="I312" s="26" t="s">
        <v>53</v>
      </c>
      <c r="J312" s="26" t="n">
        <f aca="false">IF(I312="tl", 0, 1)</f>
        <v>0</v>
      </c>
      <c r="K312" s="26" t="n">
        <v>36.08</v>
      </c>
      <c r="L312" s="26" t="n">
        <f aca="false">IF(K312="tl", 0, 1)</f>
        <v>1</v>
      </c>
      <c r="M312" s="26" t="n">
        <v>9.65</v>
      </c>
      <c r="N312" s="26" t="n">
        <f aca="false">IF(M312="tl", 0, 1)</f>
        <v>1</v>
      </c>
      <c r="P312" s="23" t="n">
        <v>0</v>
      </c>
      <c r="Q312" s="23"/>
      <c r="R312" s="2" t="n">
        <f aca="false">IF(S312=C312, 1, 0)</f>
        <v>1</v>
      </c>
      <c r="S312" s="2" t="s">
        <v>138</v>
      </c>
      <c r="T312" s="2" t="n">
        <v>128</v>
      </c>
      <c r="U312" s="2" t="n">
        <v>387</v>
      </c>
      <c r="V312" s="2" t="s">
        <v>51</v>
      </c>
      <c r="W312" s="2" t="n">
        <v>11</v>
      </c>
      <c r="X312" s="2" t="n">
        <v>11</v>
      </c>
      <c r="Y312" s="2" t="n">
        <v>46.2818</v>
      </c>
      <c r="Z312" s="2" t="n">
        <v>26.6333</v>
      </c>
      <c r="AA312" s="2" t="n">
        <v>1333</v>
      </c>
      <c r="AB312" s="2" t="n">
        <v>42</v>
      </c>
      <c r="AC312" s="2" t="n">
        <v>1676</v>
      </c>
      <c r="AD312" s="2" t="n">
        <v>2838</v>
      </c>
      <c r="AE312" s="2" t="n">
        <v>90</v>
      </c>
      <c r="AF312" s="2" t="n">
        <v>0</v>
      </c>
      <c r="AG312" s="2" t="n">
        <v>12</v>
      </c>
      <c r="AH312" s="2" t="n">
        <v>8.89474</v>
      </c>
      <c r="AI312" s="2" t="n">
        <v>52</v>
      </c>
      <c r="AJ312" s="2" t="n">
        <f aca="false">IF(V312="Optimal", 1, 0)</f>
        <v>1</v>
      </c>
      <c r="AK312" s="3" t="n">
        <f aca="false">IF(AJ312=1, W312-G312)</f>
        <v>0</v>
      </c>
      <c r="AL312" s="4" t="n">
        <f aca="false">IF(AND(AH312&lt;&gt;-1, G312&lt;&gt;"-", G312&lt;&gt;"."), ((G312-AH312)/G312)*100, -1)</f>
        <v>19.1387272727273</v>
      </c>
      <c r="AN312" s="5" t="n">
        <f aca="false">IF(AND(AO312=C312, A312=AP312), 1, 0)</f>
        <v>1</v>
      </c>
      <c r="AO312" s="5" t="s">
        <v>138</v>
      </c>
      <c r="AP312" s="5" t="n">
        <v>20</v>
      </c>
      <c r="AQ312" s="5" t="n">
        <v>3600</v>
      </c>
      <c r="AR312" s="5" t="n">
        <v>128</v>
      </c>
      <c r="AS312" s="5" t="n">
        <v>387</v>
      </c>
      <c r="AT312" s="28" t="n">
        <v>3600</v>
      </c>
      <c r="AU312" s="28" t="s">
        <v>54</v>
      </c>
      <c r="AV312" s="28" t="n">
        <v>127.391</v>
      </c>
      <c r="AW312" s="28" t="n">
        <v>112</v>
      </c>
      <c r="AX312" s="28" t="n">
        <v>16</v>
      </c>
      <c r="AY312" s="28" t="n">
        <v>2354</v>
      </c>
      <c r="AZ312" s="28" t="n">
        <v>7712</v>
      </c>
      <c r="BA312" s="28" t="n">
        <v>81</v>
      </c>
      <c r="BB312" s="6" t="n">
        <f aca="false">IF(AU312="Optimal", 1, 0)</f>
        <v>0</v>
      </c>
    </row>
    <row r="313" customFormat="false" ht="12.8" hidden="false" customHeight="false" outlineLevel="0" collapsed="false">
      <c r="A313" s="1" t="n">
        <v>20</v>
      </c>
      <c r="B313" s="23" t="s">
        <v>49</v>
      </c>
      <c r="C313" s="24" t="s">
        <v>141</v>
      </c>
      <c r="D313" s="32" t="n">
        <v>100</v>
      </c>
      <c r="E313" s="32" t="n">
        <v>166</v>
      </c>
      <c r="F313" s="32" t="n">
        <v>33</v>
      </c>
      <c r="G313" s="32" t="n">
        <v>20</v>
      </c>
      <c r="H313" s="3" t="n">
        <v>1</v>
      </c>
      <c r="I313" s="26" t="s">
        <v>53</v>
      </c>
      <c r="J313" s="26" t="n">
        <f aca="false">IF(I313="tl", 0, 1)</f>
        <v>0</v>
      </c>
      <c r="K313" s="26" t="n">
        <v>29.29</v>
      </c>
      <c r="L313" s="26" t="n">
        <f aca="false">IF(K313="tl", 0, 1)</f>
        <v>1</v>
      </c>
      <c r="M313" s="26" t="n">
        <v>23.91</v>
      </c>
      <c r="N313" s="26" t="n">
        <f aca="false">IF(M313="tl", 0, 1)</f>
        <v>1</v>
      </c>
      <c r="P313" s="23" t="n">
        <v>0</v>
      </c>
      <c r="Q313" s="23"/>
      <c r="R313" s="2" t="n">
        <f aca="false">IF(S313=C313, 1, 0)</f>
        <v>1</v>
      </c>
      <c r="S313" s="2" t="s">
        <v>141</v>
      </c>
      <c r="T313" s="2" t="n">
        <v>100</v>
      </c>
      <c r="U313" s="2" t="n">
        <v>166</v>
      </c>
      <c r="V313" s="2" t="s">
        <v>51</v>
      </c>
      <c r="W313" s="2" t="n">
        <v>20</v>
      </c>
      <c r="X313" s="2" t="n">
        <v>20</v>
      </c>
      <c r="Y313" s="2" t="n">
        <v>5.51747</v>
      </c>
      <c r="Z313" s="2" t="n">
        <v>3.85631</v>
      </c>
      <c r="AA313" s="2" t="n">
        <v>391</v>
      </c>
      <c r="AB313" s="2" t="n">
        <v>4</v>
      </c>
      <c r="AC313" s="2" t="n">
        <v>764</v>
      </c>
      <c r="AD313" s="2" t="n">
        <v>1263</v>
      </c>
      <c r="AE313" s="2" t="n">
        <v>118</v>
      </c>
      <c r="AF313" s="2" t="n">
        <v>0</v>
      </c>
      <c r="AG313" s="2" t="n">
        <v>2</v>
      </c>
      <c r="AH313" s="2" t="n">
        <v>19</v>
      </c>
      <c r="AI313" s="2" t="n">
        <v>25</v>
      </c>
      <c r="AJ313" s="2" t="n">
        <f aca="false">IF(V313="Optimal", 1, 0)</f>
        <v>1</v>
      </c>
      <c r="AK313" s="3" t="n">
        <f aca="false">IF(AJ313=1, W313-G313)</f>
        <v>0</v>
      </c>
      <c r="AL313" s="4" t="n">
        <f aca="false">IF(AND(AH313&lt;&gt;-1, G313&lt;&gt;"-", G313&lt;&gt;"."), ((G313-AH313)/G313)*100, -1)</f>
        <v>5</v>
      </c>
      <c r="AN313" s="5" t="n">
        <f aca="false">IF(AND(AO313=C313, A313=AP313), 1, 0)</f>
        <v>1</v>
      </c>
      <c r="AO313" s="5" t="s">
        <v>141</v>
      </c>
      <c r="AP313" s="5" t="n">
        <v>20</v>
      </c>
      <c r="AQ313" s="5" t="n">
        <v>3600</v>
      </c>
      <c r="AR313" s="5" t="n">
        <v>100</v>
      </c>
      <c r="AS313" s="5" t="n">
        <v>166</v>
      </c>
      <c r="AT313" s="28" t="n">
        <v>3600</v>
      </c>
      <c r="AU313" s="28" t="s">
        <v>54</v>
      </c>
      <c r="AV313" s="28" t="n">
        <v>98.6191</v>
      </c>
      <c r="AW313" s="28" t="n">
        <v>73</v>
      </c>
      <c r="AX313" s="28" t="n">
        <v>27</v>
      </c>
      <c r="AY313" s="28" t="n">
        <v>1810</v>
      </c>
      <c r="AZ313" s="28" t="n">
        <v>3675</v>
      </c>
      <c r="BA313" s="28" t="n">
        <v>4145</v>
      </c>
      <c r="BB313" s="6" t="n">
        <f aca="false">IF(AU313="Optimal", 1, 0)</f>
        <v>0</v>
      </c>
    </row>
    <row r="314" customFormat="false" ht="12.8" hidden="false" customHeight="false" outlineLevel="0" collapsed="false">
      <c r="A314" s="1" t="n">
        <v>20</v>
      </c>
      <c r="B314" s="23" t="s">
        <v>49</v>
      </c>
      <c r="C314" s="24" t="s">
        <v>142</v>
      </c>
      <c r="D314" s="32" t="n">
        <v>100</v>
      </c>
      <c r="E314" s="32" t="n">
        <v>166</v>
      </c>
      <c r="F314" s="32" t="n">
        <v>33</v>
      </c>
      <c r="G314" s="32" t="n">
        <v>20</v>
      </c>
      <c r="H314" s="3" t="n">
        <v>1</v>
      </c>
      <c r="I314" s="26" t="s">
        <v>53</v>
      </c>
      <c r="J314" s="26" t="n">
        <f aca="false">IF(I314="tl", 0, 1)</f>
        <v>0</v>
      </c>
      <c r="K314" s="26" t="n">
        <v>35.81</v>
      </c>
      <c r="L314" s="26" t="n">
        <f aca="false">IF(K314="tl", 0, 1)</f>
        <v>1</v>
      </c>
      <c r="M314" s="26" t="n">
        <v>17.77</v>
      </c>
      <c r="N314" s="26" t="n">
        <f aca="false">IF(M314="tl", 0, 1)</f>
        <v>1</v>
      </c>
      <c r="P314" s="23" t="n">
        <v>0</v>
      </c>
      <c r="Q314" s="23"/>
      <c r="R314" s="2" t="n">
        <f aca="false">IF(S314=C314, 1, 0)</f>
        <v>1</v>
      </c>
      <c r="S314" s="2" t="s">
        <v>142</v>
      </c>
      <c r="T314" s="2" t="n">
        <v>100</v>
      </c>
      <c r="U314" s="2" t="n">
        <v>166</v>
      </c>
      <c r="V314" s="2" t="s">
        <v>51</v>
      </c>
      <c r="W314" s="2" t="n">
        <v>20</v>
      </c>
      <c r="X314" s="2" t="n">
        <v>20</v>
      </c>
      <c r="Y314" s="2" t="n">
        <v>7.03336</v>
      </c>
      <c r="Z314" s="2" t="n">
        <v>4.31174</v>
      </c>
      <c r="AA314" s="2" t="n">
        <v>393</v>
      </c>
      <c r="AB314" s="2" t="n">
        <v>12</v>
      </c>
      <c r="AC314" s="2" t="n">
        <v>764</v>
      </c>
      <c r="AD314" s="2" t="n">
        <v>1263</v>
      </c>
      <c r="AE314" s="2" t="n">
        <v>100</v>
      </c>
      <c r="AF314" s="2" t="n">
        <v>0</v>
      </c>
      <c r="AG314" s="2" t="n">
        <v>4</v>
      </c>
      <c r="AH314" s="2" t="n">
        <v>18.75</v>
      </c>
      <c r="AI314" s="2" t="n">
        <v>21</v>
      </c>
      <c r="AJ314" s="2" t="n">
        <f aca="false">IF(V314="Optimal", 1, 0)</f>
        <v>1</v>
      </c>
      <c r="AK314" s="3" t="n">
        <f aca="false">IF(AJ314=1, W314-G314)</f>
        <v>0</v>
      </c>
      <c r="AL314" s="4" t="n">
        <f aca="false">IF(AND(AH314&lt;&gt;-1, G314&lt;&gt;"-", G314&lt;&gt;"."), ((G314-AH314)/G314)*100, -1)</f>
        <v>6.25</v>
      </c>
      <c r="AN314" s="5" t="n">
        <f aca="false">IF(AND(AO314=C314, A314=AP314), 1, 0)</f>
        <v>1</v>
      </c>
      <c r="AO314" s="5" t="s">
        <v>142</v>
      </c>
      <c r="AP314" s="5" t="n">
        <v>20</v>
      </c>
      <c r="AQ314" s="5" t="n">
        <v>3600</v>
      </c>
      <c r="AR314" s="5" t="n">
        <v>100</v>
      </c>
      <c r="AS314" s="5" t="n">
        <v>166</v>
      </c>
      <c r="AT314" s="28" t="n">
        <v>3600</v>
      </c>
      <c r="AU314" s="28" t="s">
        <v>54</v>
      </c>
      <c r="AV314" s="28" t="n">
        <v>98.181</v>
      </c>
      <c r="AW314" s="28" t="n">
        <v>69</v>
      </c>
      <c r="AX314" s="28" t="n">
        <v>31</v>
      </c>
      <c r="AY314" s="28" t="n">
        <v>1717</v>
      </c>
      <c r="AZ314" s="28" t="n">
        <v>4181</v>
      </c>
      <c r="BA314" s="28" t="n">
        <v>1011</v>
      </c>
      <c r="BB314" s="6" t="n">
        <f aca="false">IF(AU314="Optimal", 1, 0)</f>
        <v>0</v>
      </c>
    </row>
    <row r="315" customFormat="false" ht="12.8" hidden="false" customHeight="false" outlineLevel="0" collapsed="false">
      <c r="A315" s="1" t="n">
        <v>20</v>
      </c>
      <c r="B315" s="23" t="s">
        <v>49</v>
      </c>
      <c r="C315" s="24" t="s">
        <v>143</v>
      </c>
      <c r="D315" s="32" t="n">
        <v>88</v>
      </c>
      <c r="E315" s="32" t="n">
        <v>146</v>
      </c>
      <c r="F315" s="32" t="n">
        <v>29</v>
      </c>
      <c r="G315" s="32" t="n">
        <v>20</v>
      </c>
      <c r="H315" s="3" t="n">
        <v>1</v>
      </c>
      <c r="I315" s="26" t="s">
        <v>53</v>
      </c>
      <c r="J315" s="26" t="n">
        <f aca="false">IF(I315="tl", 0, 1)</f>
        <v>0</v>
      </c>
      <c r="K315" s="26" t="n">
        <v>36.35</v>
      </c>
      <c r="L315" s="26" t="n">
        <f aca="false">IF(K315="tl", 0, 1)</f>
        <v>1</v>
      </c>
      <c r="M315" s="26" t="n">
        <v>11.45</v>
      </c>
      <c r="N315" s="26" t="n">
        <f aca="false">IF(M315="tl", 0, 1)</f>
        <v>1</v>
      </c>
      <c r="P315" s="23" t="n">
        <v>0</v>
      </c>
      <c r="Q315" s="23"/>
      <c r="R315" s="2" t="n">
        <f aca="false">IF(S315=C315, 1, 0)</f>
        <v>1</v>
      </c>
      <c r="S315" s="2" t="s">
        <v>143</v>
      </c>
      <c r="T315" s="2" t="n">
        <v>88</v>
      </c>
      <c r="U315" s="2" t="n">
        <v>146</v>
      </c>
      <c r="V315" s="2" t="s">
        <v>51</v>
      </c>
      <c r="W315" s="2" t="n">
        <v>20</v>
      </c>
      <c r="X315" s="2" t="n">
        <v>20</v>
      </c>
      <c r="Y315" s="2" t="n">
        <v>5.21164</v>
      </c>
      <c r="Z315" s="2" t="n">
        <v>3.95667</v>
      </c>
      <c r="AA315" s="2" t="n">
        <v>353</v>
      </c>
      <c r="AB315" s="2" t="n">
        <v>8</v>
      </c>
      <c r="AC315" s="2" t="n">
        <v>672</v>
      </c>
      <c r="AD315" s="2" t="n">
        <v>1111</v>
      </c>
      <c r="AE315" s="2" t="n">
        <v>111</v>
      </c>
      <c r="AF315" s="2" t="n">
        <v>0</v>
      </c>
      <c r="AG315" s="2" t="n">
        <v>7</v>
      </c>
      <c r="AH315" s="2" t="n">
        <v>19.1538</v>
      </c>
      <c r="AI315" s="2" t="n">
        <v>31</v>
      </c>
      <c r="AJ315" s="2" t="n">
        <f aca="false">IF(V315="Optimal", 1, 0)</f>
        <v>1</v>
      </c>
      <c r="AK315" s="3" t="n">
        <f aca="false">IF(AJ315=1, W315-G315)</f>
        <v>0</v>
      </c>
      <c r="AL315" s="4" t="n">
        <f aca="false">IF(AND(AH315&lt;&gt;-1, G315&lt;&gt;"-", G315&lt;&gt;"."), ((G315-AH315)/G315)*100, -1)</f>
        <v>4.231</v>
      </c>
      <c r="AN315" s="5" t="n">
        <f aca="false">IF(AND(AO315=C315, A315=AP315), 1, 0)</f>
        <v>1</v>
      </c>
      <c r="AO315" s="5" t="s">
        <v>143</v>
      </c>
      <c r="AP315" s="5" t="n">
        <v>20</v>
      </c>
      <c r="AQ315" s="5" t="n">
        <v>3600</v>
      </c>
      <c r="AR315" s="5" t="n">
        <v>88</v>
      </c>
      <c r="AS315" s="5" t="n">
        <v>146</v>
      </c>
      <c r="AT315" s="28" t="n">
        <v>3600</v>
      </c>
      <c r="AU315" s="28" t="s">
        <v>54</v>
      </c>
      <c r="AV315" s="28" t="n">
        <v>85.0622</v>
      </c>
      <c r="AW315" s="28" t="n">
        <v>62</v>
      </c>
      <c r="AX315" s="28" t="n">
        <v>26</v>
      </c>
      <c r="AY315" s="28" t="n">
        <v>1431</v>
      </c>
      <c r="AZ315" s="28" t="n">
        <v>3574</v>
      </c>
      <c r="BA315" s="28" t="n">
        <v>3701</v>
      </c>
      <c r="BB315" s="6" t="n">
        <f aca="false">IF(AU315="Optimal", 1, 0)</f>
        <v>0</v>
      </c>
    </row>
    <row r="316" customFormat="false" ht="12.8" hidden="false" customHeight="false" outlineLevel="0" collapsed="false">
      <c r="A316" s="1" t="n">
        <v>20</v>
      </c>
      <c r="B316" s="23" t="s">
        <v>49</v>
      </c>
      <c r="C316" s="24" t="s">
        <v>144</v>
      </c>
      <c r="D316" s="32" t="n">
        <v>88</v>
      </c>
      <c r="E316" s="32" t="n">
        <v>146</v>
      </c>
      <c r="F316" s="32" t="n">
        <v>29</v>
      </c>
      <c r="G316" s="32" t="n">
        <v>19</v>
      </c>
      <c r="H316" s="3" t="n">
        <v>1</v>
      </c>
      <c r="I316" s="26" t="s">
        <v>53</v>
      </c>
      <c r="J316" s="26" t="n">
        <f aca="false">IF(I316="tl", 0, 1)</f>
        <v>0</v>
      </c>
      <c r="K316" s="26" t="n">
        <v>30.66</v>
      </c>
      <c r="L316" s="26" t="n">
        <f aca="false">IF(K316="tl", 0, 1)</f>
        <v>1</v>
      </c>
      <c r="M316" s="26" t="n">
        <v>0.96</v>
      </c>
      <c r="N316" s="26" t="n">
        <f aca="false">IF(M316="tl", 0, 1)</f>
        <v>1</v>
      </c>
      <c r="P316" s="23" t="n">
        <v>0</v>
      </c>
      <c r="Q316" s="23"/>
      <c r="R316" s="2" t="n">
        <f aca="false">IF(S316=C316, 1, 0)</f>
        <v>1</v>
      </c>
      <c r="S316" s="2" t="s">
        <v>144</v>
      </c>
      <c r="T316" s="2" t="n">
        <v>88</v>
      </c>
      <c r="U316" s="2" t="n">
        <v>146</v>
      </c>
      <c r="V316" s="2" t="s">
        <v>51</v>
      </c>
      <c r="W316" s="2" t="n">
        <v>19</v>
      </c>
      <c r="X316" s="2" t="n">
        <v>19</v>
      </c>
      <c r="Y316" s="2" t="n">
        <v>3.29849</v>
      </c>
      <c r="Z316" s="2" t="n">
        <v>2.05029</v>
      </c>
      <c r="AA316" s="2" t="n">
        <v>382</v>
      </c>
      <c r="AB316" s="2" t="n">
        <v>3</v>
      </c>
      <c r="AC316" s="2" t="n">
        <v>672</v>
      </c>
      <c r="AD316" s="2" t="n">
        <v>1111</v>
      </c>
      <c r="AE316" s="2" t="n">
        <v>137</v>
      </c>
      <c r="AF316" s="2" t="n">
        <v>0</v>
      </c>
      <c r="AG316" s="2" t="n">
        <v>2</v>
      </c>
      <c r="AH316" s="2" t="n">
        <v>19</v>
      </c>
      <c r="AI316" s="2" t="n">
        <v>34</v>
      </c>
      <c r="AJ316" s="2" t="n">
        <f aca="false">IF(V316="Optimal", 1, 0)</f>
        <v>1</v>
      </c>
      <c r="AK316" s="3" t="n">
        <f aca="false">IF(AJ316=1, W316-G316)</f>
        <v>0</v>
      </c>
      <c r="AL316" s="4" t="n">
        <f aca="false">IF(AND(AH316&lt;&gt;-1, G316&lt;&gt;"-", G316&lt;&gt;"."), ((G316-AH316)/G316)*100, -1)</f>
        <v>0</v>
      </c>
      <c r="AN316" s="5" t="n">
        <f aca="false">IF(AND(AO316=C316, A316=AP316), 1, 0)</f>
        <v>1</v>
      </c>
      <c r="AO316" s="5" t="s">
        <v>144</v>
      </c>
      <c r="AP316" s="5" t="n">
        <v>20</v>
      </c>
      <c r="AQ316" s="5" t="n">
        <v>3600</v>
      </c>
      <c r="AR316" s="5" t="n">
        <v>88</v>
      </c>
      <c r="AS316" s="5" t="n">
        <v>146</v>
      </c>
      <c r="AT316" s="28" t="n">
        <v>3600</v>
      </c>
      <c r="AU316" s="28" t="s">
        <v>54</v>
      </c>
      <c r="AV316" s="28" t="n">
        <v>85.3177</v>
      </c>
      <c r="AW316" s="28" t="n">
        <v>62</v>
      </c>
      <c r="AX316" s="28" t="n">
        <v>26</v>
      </c>
      <c r="AY316" s="28" t="n">
        <v>1428</v>
      </c>
      <c r="AZ316" s="28" t="n">
        <v>3384</v>
      </c>
      <c r="BA316" s="28" t="n">
        <v>5702</v>
      </c>
      <c r="BB316" s="6" t="n">
        <f aca="false">IF(AU316="Optimal", 1, 0)</f>
        <v>0</v>
      </c>
    </row>
    <row r="317" customFormat="false" ht="12.8" hidden="false" customHeight="false" outlineLevel="0" collapsed="false">
      <c r="A317" s="1" t="n">
        <v>20</v>
      </c>
      <c r="B317" s="23" t="s">
        <v>49</v>
      </c>
      <c r="C317" s="24" t="s">
        <v>145</v>
      </c>
      <c r="D317" s="32" t="n">
        <v>188</v>
      </c>
      <c r="E317" s="32" t="n">
        <v>3885</v>
      </c>
      <c r="F317" s="32" t="n">
        <v>90</v>
      </c>
      <c r="G317" s="32" t="n">
        <v>18</v>
      </c>
      <c r="H317" s="3" t="n">
        <v>1</v>
      </c>
      <c r="I317" s="26" t="n">
        <v>382.63</v>
      </c>
      <c r="J317" s="26" t="n">
        <f aca="false">IF(I317="tl", 0, 1)</f>
        <v>1</v>
      </c>
      <c r="K317" s="26" t="s">
        <v>53</v>
      </c>
      <c r="L317" s="26" t="n">
        <f aca="false">IF(K317="tl", 0, 1)</f>
        <v>0</v>
      </c>
      <c r="M317" s="26" t="n">
        <v>0.14</v>
      </c>
      <c r="N317" s="26" t="n">
        <f aca="false">IF(M317="tl", 0, 1)</f>
        <v>1</v>
      </c>
      <c r="P317" s="23" t="n">
        <v>3</v>
      </c>
      <c r="Q317" s="23"/>
      <c r="R317" s="2" t="n">
        <f aca="false">IF(S317=C317, 1, 0)</f>
        <v>1</v>
      </c>
      <c r="S317" s="2" t="s">
        <v>145</v>
      </c>
      <c r="T317" s="2" t="n">
        <v>188</v>
      </c>
      <c r="U317" s="2" t="n">
        <v>3885</v>
      </c>
      <c r="V317" s="2" t="s">
        <v>54</v>
      </c>
      <c r="W317" s="2" t="n">
        <v>50</v>
      </c>
      <c r="X317" s="2" t="n">
        <v>3.46269</v>
      </c>
      <c r="Y317" s="2" t="n">
        <v>1800</v>
      </c>
      <c r="Z317" s="2" t="n">
        <v>317.54</v>
      </c>
      <c r="AA317" s="2" t="n">
        <v>5094</v>
      </c>
      <c r="AB317" s="2" t="n">
        <v>3</v>
      </c>
      <c r="AC317" s="2" t="n">
        <v>15728</v>
      </c>
      <c r="AD317" s="2" t="n">
        <v>27384</v>
      </c>
      <c r="AE317" s="2" t="n">
        <v>160</v>
      </c>
      <c r="AF317" s="2" t="n">
        <v>0</v>
      </c>
      <c r="AG317" s="2" t="n">
        <v>1</v>
      </c>
      <c r="AH317" s="2" t="n">
        <v>3.46269</v>
      </c>
      <c r="AI317" s="2" t="n">
        <v>50</v>
      </c>
      <c r="AJ317" s="2" t="n">
        <f aca="false">IF(V317="Optimal", 1, 0)</f>
        <v>0</v>
      </c>
      <c r="AK317" s="29" t="b">
        <f aca="false">IF(AJ317=1, W317-G317)</f>
        <v>0</v>
      </c>
      <c r="AL317" s="4" t="n">
        <f aca="false">IF(AND(AH317&lt;&gt;-1, G317&lt;&gt;"-", G317&lt;&gt;"."), ((G317-AH317)/G317)*100, -1)</f>
        <v>80.7628333333333</v>
      </c>
      <c r="AN317" s="5" t="n">
        <f aca="false">IF(AND(AO317=C317, A317=AP317), 1, 0)</f>
        <v>1</v>
      </c>
      <c r="AO317" s="5" t="s">
        <v>145</v>
      </c>
      <c r="AP317" s="5" t="n">
        <v>20</v>
      </c>
      <c r="AQ317" s="5" t="n">
        <v>3600</v>
      </c>
      <c r="AR317" s="5" t="n">
        <v>188</v>
      </c>
      <c r="AS317" s="5" t="n">
        <v>3885</v>
      </c>
      <c r="AT317" s="28" t="n">
        <v>3600</v>
      </c>
      <c r="AU317" s="28" t="s">
        <v>54</v>
      </c>
      <c r="AV317" s="28" t="n">
        <v>186.404</v>
      </c>
      <c r="AW317" s="28" t="n">
        <v>159</v>
      </c>
      <c r="AX317" s="28" t="n">
        <v>29</v>
      </c>
      <c r="AY317" s="28" t="n">
        <v>3760</v>
      </c>
      <c r="AZ317" s="28" t="n">
        <v>78275</v>
      </c>
      <c r="BA317" s="28" t="n">
        <v>73</v>
      </c>
      <c r="BB317" s="6" t="n">
        <f aca="false">IF(AU317="Optimal", 1, 0)</f>
        <v>0</v>
      </c>
    </row>
    <row r="318" customFormat="false" ht="12.8" hidden="false" customHeight="false" outlineLevel="0" collapsed="false">
      <c r="A318" s="1" t="n">
        <v>20</v>
      </c>
      <c r="B318" s="23" t="s">
        <v>49</v>
      </c>
      <c r="C318" s="24" t="s">
        <v>146</v>
      </c>
      <c r="D318" s="32" t="n">
        <v>184</v>
      </c>
      <c r="E318" s="32" t="n">
        <v>3916</v>
      </c>
      <c r="F318" s="32" t="n">
        <v>86</v>
      </c>
      <c r="G318" s="32" t="n">
        <v>19</v>
      </c>
      <c r="H318" s="3" t="n">
        <v>1</v>
      </c>
      <c r="I318" s="26" t="n">
        <v>594.89</v>
      </c>
      <c r="J318" s="26" t="n">
        <f aca="false">IF(I318="tl", 0, 1)</f>
        <v>1</v>
      </c>
      <c r="K318" s="26" t="s">
        <v>53</v>
      </c>
      <c r="L318" s="26" t="n">
        <f aca="false">IF(K318="tl", 0, 1)</f>
        <v>0</v>
      </c>
      <c r="M318" s="26" t="n">
        <v>0.33</v>
      </c>
      <c r="N318" s="26" t="n">
        <f aca="false">IF(M318="tl", 0, 1)</f>
        <v>1</v>
      </c>
      <c r="P318" s="23" t="n">
        <v>3</v>
      </c>
      <c r="Q318" s="23"/>
      <c r="R318" s="2" t="n">
        <f aca="false">IF(S318=C318, 1, 0)</f>
        <v>1</v>
      </c>
      <c r="S318" s="2" t="s">
        <v>146</v>
      </c>
      <c r="T318" s="2" t="n">
        <v>184</v>
      </c>
      <c r="U318" s="2" t="n">
        <v>3916</v>
      </c>
      <c r="V318" s="2" t="s">
        <v>54</v>
      </c>
      <c r="W318" s="2" t="n">
        <v>50</v>
      </c>
      <c r="X318" s="2" t="n">
        <v>7.79104</v>
      </c>
      <c r="Y318" s="2" t="n">
        <v>1800</v>
      </c>
      <c r="Z318" s="2" t="n">
        <v>283.691</v>
      </c>
      <c r="AA318" s="2" t="n">
        <v>5128</v>
      </c>
      <c r="AB318" s="2" t="n">
        <v>3</v>
      </c>
      <c r="AC318" s="2" t="n">
        <v>15848</v>
      </c>
      <c r="AD318" s="2" t="n">
        <v>27597</v>
      </c>
      <c r="AE318" s="2" t="n">
        <v>228</v>
      </c>
      <c r="AF318" s="2" t="n">
        <v>0</v>
      </c>
      <c r="AG318" s="2" t="n">
        <v>1</v>
      </c>
      <c r="AH318" s="2" t="n">
        <v>7.79104</v>
      </c>
      <c r="AI318" s="2" t="n">
        <v>50</v>
      </c>
      <c r="AJ318" s="2" t="n">
        <f aca="false">IF(V318="Optimal", 1, 0)</f>
        <v>0</v>
      </c>
      <c r="AK318" s="29" t="b">
        <f aca="false">IF(AJ318=1, W318-G318)</f>
        <v>0</v>
      </c>
      <c r="AL318" s="4" t="n">
        <f aca="false">IF(AND(AH318&lt;&gt;-1, G318&lt;&gt;"-", G318&lt;&gt;"."), ((G318-AH318)/G318)*100, -1)</f>
        <v>58.9945263157895</v>
      </c>
      <c r="AN318" s="5" t="n">
        <f aca="false">IF(AND(AO318=C318, A318=AP318), 1, 0)</f>
        <v>1</v>
      </c>
      <c r="AO318" s="5" t="s">
        <v>146</v>
      </c>
      <c r="AP318" s="5" t="n">
        <v>20</v>
      </c>
      <c r="AQ318" s="5" t="n">
        <v>3600</v>
      </c>
      <c r="AR318" s="5" t="n">
        <v>184</v>
      </c>
      <c r="AS318" s="5" t="n">
        <v>3916</v>
      </c>
      <c r="AT318" s="28" t="n">
        <v>3600.01</v>
      </c>
      <c r="AU318" s="28" t="s">
        <v>54</v>
      </c>
      <c r="AV318" s="28" t="n">
        <v>184</v>
      </c>
      <c r="AW318" s="28" t="n">
        <v>165</v>
      </c>
      <c r="AX318" s="28" t="n">
        <v>20</v>
      </c>
      <c r="AY318" s="28" t="n">
        <v>3680</v>
      </c>
      <c r="AZ318" s="28" t="n">
        <v>78610</v>
      </c>
      <c r="BA318" s="28" t="n">
        <v>3</v>
      </c>
      <c r="BB318" s="6" t="n">
        <f aca="false">IF(AU318="Optimal", 1, 0)</f>
        <v>0</v>
      </c>
    </row>
    <row r="319" customFormat="false" ht="12.8" hidden="false" customHeight="false" outlineLevel="0" collapsed="false">
      <c r="A319" s="1" t="n">
        <v>20</v>
      </c>
      <c r="B319" s="23" t="s">
        <v>49</v>
      </c>
      <c r="C319" s="24" t="s">
        <v>147</v>
      </c>
      <c r="D319" s="32" t="n">
        <v>185</v>
      </c>
      <c r="E319" s="32" t="n">
        <v>3946</v>
      </c>
      <c r="F319" s="32" t="n">
        <v>86</v>
      </c>
      <c r="G319" s="32" t="n">
        <v>19</v>
      </c>
      <c r="H319" s="3" t="n">
        <v>1</v>
      </c>
      <c r="I319" s="26" t="n">
        <v>186.83</v>
      </c>
      <c r="J319" s="26" t="n">
        <f aca="false">IF(I319="tl", 0, 1)</f>
        <v>1</v>
      </c>
      <c r="K319" s="26" t="s">
        <v>53</v>
      </c>
      <c r="L319" s="26" t="n">
        <f aca="false">IF(K319="tl", 0, 1)</f>
        <v>0</v>
      </c>
      <c r="M319" s="26" t="n">
        <v>0.34</v>
      </c>
      <c r="N319" s="26" t="n">
        <f aca="false">IF(M319="tl", 0, 1)</f>
        <v>1</v>
      </c>
      <c r="P319" s="23" t="n">
        <v>3</v>
      </c>
      <c r="Q319" s="23"/>
      <c r="R319" s="2" t="n">
        <f aca="false">IF(S319=C319, 1, 0)</f>
        <v>1</v>
      </c>
      <c r="S319" s="2" t="s">
        <v>147</v>
      </c>
      <c r="T319" s="2" t="n">
        <v>185</v>
      </c>
      <c r="U319" s="2" t="n">
        <v>3946</v>
      </c>
      <c r="V319" s="2" t="s">
        <v>54</v>
      </c>
      <c r="W319" s="2" t="n">
        <v>51</v>
      </c>
      <c r="X319" s="2" t="n">
        <v>7.79104</v>
      </c>
      <c r="Y319" s="2" t="n">
        <v>1800</v>
      </c>
      <c r="Z319" s="2" t="n">
        <v>307.321</v>
      </c>
      <c r="AA319" s="2" t="n">
        <v>4889</v>
      </c>
      <c r="AB319" s="2" t="n">
        <v>3</v>
      </c>
      <c r="AC319" s="2" t="n">
        <v>15969</v>
      </c>
      <c r="AD319" s="2" t="n">
        <v>27808</v>
      </c>
      <c r="AE319" s="2" t="n">
        <v>187</v>
      </c>
      <c r="AF319" s="2" t="n">
        <v>0</v>
      </c>
      <c r="AG319" s="2" t="n">
        <v>1</v>
      </c>
      <c r="AH319" s="2" t="n">
        <v>7.79104</v>
      </c>
      <c r="AI319" s="2" t="n">
        <v>51</v>
      </c>
      <c r="AJ319" s="2" t="n">
        <f aca="false">IF(V319="Optimal", 1, 0)</f>
        <v>0</v>
      </c>
      <c r="AK319" s="29" t="b">
        <f aca="false">IF(AJ319=1, W319-G319)</f>
        <v>0</v>
      </c>
      <c r="AL319" s="4" t="n">
        <f aca="false">IF(AND(AH319&lt;&gt;-1, G319&lt;&gt;"-", G319&lt;&gt;"."), ((G319-AH319)/G319)*100, -1)</f>
        <v>58.9945263157895</v>
      </c>
      <c r="AN319" s="5" t="n">
        <f aca="false">IF(AND(AO319=C319, A319=AP319), 1, 0)</f>
        <v>1</v>
      </c>
      <c r="AO319" s="5" t="s">
        <v>147</v>
      </c>
      <c r="AP319" s="5" t="n">
        <v>20</v>
      </c>
      <c r="AQ319" s="5" t="n">
        <v>3600</v>
      </c>
      <c r="AR319" s="5" t="n">
        <v>185</v>
      </c>
      <c r="AS319" s="5" t="n">
        <v>3946</v>
      </c>
      <c r="AT319" s="28" t="n">
        <v>3600.01</v>
      </c>
      <c r="AU319" s="28" t="s">
        <v>54</v>
      </c>
      <c r="AV319" s="28" t="n">
        <v>185</v>
      </c>
      <c r="AW319" s="28" t="n">
        <v>166</v>
      </c>
      <c r="AX319" s="28" t="n">
        <v>19</v>
      </c>
      <c r="AY319" s="28" t="n">
        <v>3700</v>
      </c>
      <c r="AZ319" s="28" t="n">
        <v>79198</v>
      </c>
      <c r="BA319" s="28" t="n">
        <v>6</v>
      </c>
      <c r="BB319" s="6" t="n">
        <f aca="false">IF(AU319="Optimal", 1, 0)</f>
        <v>0</v>
      </c>
    </row>
    <row r="320" customFormat="false" ht="12.8" hidden="false" customHeight="false" outlineLevel="0" collapsed="false">
      <c r="A320" s="1" t="n">
        <v>20</v>
      </c>
      <c r="B320" s="23" t="s">
        <v>49</v>
      </c>
      <c r="C320" s="24" t="s">
        <v>148</v>
      </c>
      <c r="D320" s="32" t="n">
        <v>186</v>
      </c>
      <c r="E320" s="32" t="n">
        <v>3973</v>
      </c>
      <c r="F320" s="32" t="n">
        <v>88</v>
      </c>
      <c r="G320" s="32" t="n">
        <v>19</v>
      </c>
      <c r="H320" s="3" t="n">
        <v>1</v>
      </c>
      <c r="I320" s="26" t="n">
        <v>559.76</v>
      </c>
      <c r="J320" s="26" t="n">
        <f aca="false">IF(I320="tl", 0, 1)</f>
        <v>1</v>
      </c>
      <c r="K320" s="26" t="s">
        <v>53</v>
      </c>
      <c r="L320" s="26" t="n">
        <f aca="false">IF(K320="tl", 0, 1)</f>
        <v>0</v>
      </c>
      <c r="M320" s="26" t="n">
        <v>0.44</v>
      </c>
      <c r="N320" s="26" t="n">
        <f aca="false">IF(M320="tl", 0, 1)</f>
        <v>1</v>
      </c>
      <c r="P320" s="23" t="n">
        <v>3</v>
      </c>
      <c r="Q320" s="23"/>
      <c r="R320" s="2" t="n">
        <f aca="false">IF(S320=C320, 1, 0)</f>
        <v>1</v>
      </c>
      <c r="S320" s="2" t="s">
        <v>148</v>
      </c>
      <c r="T320" s="2" t="n">
        <v>186</v>
      </c>
      <c r="U320" s="2" t="n">
        <v>3973</v>
      </c>
      <c r="V320" s="2" t="s">
        <v>54</v>
      </c>
      <c r="W320" s="2" t="n">
        <v>58</v>
      </c>
      <c r="X320" s="2" t="n">
        <v>7.58571</v>
      </c>
      <c r="Y320" s="2" t="n">
        <v>1800.09</v>
      </c>
      <c r="Z320" s="2" t="n">
        <v>402.2</v>
      </c>
      <c r="AA320" s="2" t="n">
        <v>5420</v>
      </c>
      <c r="AB320" s="2" t="n">
        <v>3</v>
      </c>
      <c r="AC320" s="2" t="n">
        <v>16078</v>
      </c>
      <c r="AD320" s="2" t="n">
        <v>27998</v>
      </c>
      <c r="AE320" s="2" t="n">
        <v>262</v>
      </c>
      <c r="AF320" s="2" t="n">
        <v>0</v>
      </c>
      <c r="AG320" s="2" t="n">
        <v>1</v>
      </c>
      <c r="AH320" s="2" t="n">
        <v>7.58571</v>
      </c>
      <c r="AI320" s="2" t="n">
        <v>58</v>
      </c>
      <c r="AJ320" s="2" t="n">
        <f aca="false">IF(V320="Optimal", 1, 0)</f>
        <v>0</v>
      </c>
      <c r="AK320" s="29" t="b">
        <f aca="false">IF(AJ320=1, W320-G320)</f>
        <v>0</v>
      </c>
      <c r="AL320" s="4" t="n">
        <f aca="false">IF(AND(AH320&lt;&gt;-1, G320&lt;&gt;"-", G320&lt;&gt;"."), ((G320-AH320)/G320)*100, -1)</f>
        <v>60.0752105263158</v>
      </c>
      <c r="AN320" s="5" t="n">
        <f aca="false">IF(AND(AO320=C320, A320=AP320), 1, 0)</f>
        <v>1</v>
      </c>
      <c r="AO320" s="5" t="s">
        <v>148</v>
      </c>
      <c r="AP320" s="5" t="n">
        <v>20</v>
      </c>
      <c r="AQ320" s="5" t="n">
        <v>3600</v>
      </c>
      <c r="AR320" s="5" t="n">
        <v>186</v>
      </c>
      <c r="AS320" s="5" t="n">
        <v>3973</v>
      </c>
      <c r="AT320" s="28" t="n">
        <v>3600.01</v>
      </c>
      <c r="AU320" s="28" t="s">
        <v>54</v>
      </c>
      <c r="AV320" s="28" t="n">
        <v>186</v>
      </c>
      <c r="AW320" s="28" t="s">
        <v>175</v>
      </c>
      <c r="AX320" s="28" t="s">
        <v>175</v>
      </c>
      <c r="AY320" s="28" t="n">
        <v>3720</v>
      </c>
      <c r="AZ320" s="28" t="n">
        <v>79725</v>
      </c>
      <c r="BA320" s="28" t="n">
        <v>4</v>
      </c>
      <c r="BB320" s="6" t="n">
        <f aca="false">IF(AU320="Optimal", 1, 0)</f>
        <v>0</v>
      </c>
    </row>
    <row r="321" customFormat="false" ht="12.8" hidden="false" customHeight="false" outlineLevel="0" collapsed="false">
      <c r="A321" s="1" t="n">
        <v>20</v>
      </c>
      <c r="B321" s="23" t="s">
        <v>49</v>
      </c>
      <c r="C321" s="24" t="s">
        <v>151</v>
      </c>
      <c r="D321" s="32" t="n">
        <v>47</v>
      </c>
      <c r="E321" s="32" t="n">
        <v>236</v>
      </c>
      <c r="F321" s="32" t="n">
        <v>23</v>
      </c>
      <c r="G321" s="32" t="n">
        <v>23</v>
      </c>
      <c r="H321" s="3" t="n">
        <v>1</v>
      </c>
      <c r="I321" s="26" t="n">
        <v>625.69</v>
      </c>
      <c r="J321" s="26" t="n">
        <f aca="false">IF(I321="tl", 0, 1)</f>
        <v>1</v>
      </c>
      <c r="K321" s="26" t="n">
        <v>22.24</v>
      </c>
      <c r="L321" s="26" t="n">
        <f aca="false">IF(K321="tl", 0, 1)</f>
        <v>1</v>
      </c>
      <c r="M321" s="26" t="n">
        <v>0.24</v>
      </c>
      <c r="N321" s="26" t="n">
        <f aca="false">IF(M321="tl", 0, 1)</f>
        <v>1</v>
      </c>
      <c r="P321" s="23" t="n">
        <v>8</v>
      </c>
      <c r="Q321" s="23"/>
      <c r="R321" s="2" t="n">
        <f aca="false">IF(S321=C321, 1, 0)</f>
        <v>1</v>
      </c>
      <c r="S321" s="2" t="s">
        <v>151</v>
      </c>
      <c r="T321" s="2" t="n">
        <v>47</v>
      </c>
      <c r="U321" s="2" t="n">
        <v>236</v>
      </c>
      <c r="V321" s="2" t="s">
        <v>51</v>
      </c>
      <c r="W321" s="2" t="n">
        <v>23</v>
      </c>
      <c r="X321" s="2" t="n">
        <v>23</v>
      </c>
      <c r="Y321" s="2" t="n">
        <v>5.71168</v>
      </c>
      <c r="Z321" s="2" t="n">
        <v>3.43081</v>
      </c>
      <c r="AA321" s="2" t="n">
        <v>511</v>
      </c>
      <c r="AB321" s="2" t="n">
        <v>25</v>
      </c>
      <c r="AC321" s="2" t="n">
        <v>991</v>
      </c>
      <c r="AD321" s="2" t="n">
        <v>1700</v>
      </c>
      <c r="AE321" s="2" t="n">
        <v>11</v>
      </c>
      <c r="AF321" s="2" t="n">
        <v>0</v>
      </c>
      <c r="AG321" s="2" t="n">
        <v>12</v>
      </c>
      <c r="AH321" s="2" t="n">
        <v>19.8444</v>
      </c>
      <c r="AI321" s="2" t="n">
        <v>26</v>
      </c>
      <c r="AJ321" s="2" t="n">
        <f aca="false">IF(V321="Optimal", 1, 0)</f>
        <v>1</v>
      </c>
      <c r="AK321" s="3" t="n">
        <f aca="false">IF(AJ321=1, W321-G321)</f>
        <v>0</v>
      </c>
      <c r="AL321" s="4" t="n">
        <f aca="false">IF(AND(AH321&lt;&gt;-1, G321&lt;&gt;"-", G321&lt;&gt;"."), ((G321-AH321)/G321)*100, -1)</f>
        <v>13.72</v>
      </c>
      <c r="AN321" s="5" t="n">
        <f aca="false">IF(AND(AO321=C321, A321=AP321), 1, 0)</f>
        <v>1</v>
      </c>
      <c r="AO321" s="5" t="s">
        <v>151</v>
      </c>
      <c r="AP321" s="5" t="n">
        <v>20</v>
      </c>
      <c r="AQ321" s="5" t="n">
        <v>3600</v>
      </c>
      <c r="AR321" s="5" t="n">
        <v>47</v>
      </c>
      <c r="AS321" s="5" t="n">
        <v>236</v>
      </c>
      <c r="AT321" s="28" t="n">
        <v>113.625</v>
      </c>
      <c r="AU321" s="28" t="s">
        <v>51</v>
      </c>
      <c r="AV321" s="28" t="n">
        <v>24</v>
      </c>
      <c r="AW321" s="28" t="n">
        <v>24</v>
      </c>
      <c r="AX321" s="28" t="n">
        <v>23</v>
      </c>
      <c r="AY321" s="28" t="n">
        <v>522</v>
      </c>
      <c r="AZ321" s="28" t="n">
        <v>1844</v>
      </c>
      <c r="BA321" s="28" t="n">
        <v>2842</v>
      </c>
      <c r="BB321" s="6" t="n">
        <f aca="false">IF(AU321="Optimal", 1, 0)</f>
        <v>1</v>
      </c>
    </row>
    <row r="322" customFormat="false" ht="12.8" hidden="false" customHeight="false" outlineLevel="0" collapsed="false">
      <c r="A322" s="1" t="n">
        <v>20</v>
      </c>
      <c r="B322" s="23" t="s">
        <v>49</v>
      </c>
      <c r="C322" s="24" t="s">
        <v>152</v>
      </c>
      <c r="D322" s="32" t="n">
        <v>95</v>
      </c>
      <c r="E322" s="32" t="n">
        <v>755</v>
      </c>
      <c r="F322" s="32" t="n">
        <v>47</v>
      </c>
      <c r="G322" s="32" t="n">
        <v>24</v>
      </c>
      <c r="H322" s="3" t="n">
        <v>1</v>
      </c>
      <c r="I322" s="26" t="s">
        <v>53</v>
      </c>
      <c r="J322" s="26" t="n">
        <f aca="false">IF(I322="tl", 0, 1)</f>
        <v>0</v>
      </c>
      <c r="K322" s="26" t="s">
        <v>53</v>
      </c>
      <c r="L322" s="26" t="n">
        <f aca="false">IF(K322="tl", 0, 1)</f>
        <v>0</v>
      </c>
      <c r="M322" s="26" t="n">
        <v>19.99</v>
      </c>
      <c r="N322" s="26" t="n">
        <f aca="false">IF(M322="tl", 0, 1)</f>
        <v>1</v>
      </c>
      <c r="P322" s="23" t="n">
        <v>0</v>
      </c>
      <c r="Q322" s="23"/>
      <c r="R322" s="2" t="n">
        <f aca="false">IF(S322=C322, 1, 0)</f>
        <v>1</v>
      </c>
      <c r="S322" s="2" t="s">
        <v>152</v>
      </c>
      <c r="T322" s="2" t="n">
        <v>95</v>
      </c>
      <c r="U322" s="2" t="n">
        <v>755</v>
      </c>
      <c r="V322" s="2" t="s">
        <v>51</v>
      </c>
      <c r="W322" s="2" t="n">
        <v>24</v>
      </c>
      <c r="X322" s="2" t="n">
        <v>24</v>
      </c>
      <c r="Y322" s="2" t="n">
        <v>441.129</v>
      </c>
      <c r="Z322" s="2" t="n">
        <v>200.633</v>
      </c>
      <c r="AA322" s="2" t="n">
        <v>4560</v>
      </c>
      <c r="AB322" s="2" t="n">
        <v>42</v>
      </c>
      <c r="AC322" s="2" t="n">
        <v>3115</v>
      </c>
      <c r="AD322" s="2" t="n">
        <v>5381</v>
      </c>
      <c r="AE322" s="2" t="n">
        <v>3</v>
      </c>
      <c r="AF322" s="2" t="n">
        <v>0</v>
      </c>
      <c r="AG322" s="2" t="n">
        <v>21</v>
      </c>
      <c r="AH322" s="2" t="n">
        <v>19.4086</v>
      </c>
      <c r="AI322" s="2" t="n">
        <v>63</v>
      </c>
      <c r="AJ322" s="2" t="n">
        <f aca="false">IF(V322="Optimal", 1, 0)</f>
        <v>1</v>
      </c>
      <c r="AK322" s="3" t="n">
        <f aca="false">IF(AJ322=1, W322-G322)</f>
        <v>0</v>
      </c>
      <c r="AL322" s="4" t="n">
        <f aca="false">IF(AND(AH322&lt;&gt;-1, G322&lt;&gt;"-", G322&lt;&gt;"."), ((G322-AH322)/G322)*100, -1)</f>
        <v>19.1308333333333</v>
      </c>
      <c r="AN322" s="5" t="n">
        <f aca="false">IF(AND(AO322=C322, A322=AP322), 1, 0)</f>
        <v>1</v>
      </c>
      <c r="AO322" s="5" t="s">
        <v>152</v>
      </c>
      <c r="AP322" s="5" t="n">
        <v>20</v>
      </c>
      <c r="AQ322" s="5" t="n">
        <v>3600</v>
      </c>
      <c r="AR322" s="5" t="n">
        <v>95</v>
      </c>
      <c r="AS322" s="5" t="n">
        <v>755</v>
      </c>
      <c r="AT322" s="28" t="n">
        <v>3600</v>
      </c>
      <c r="AU322" s="28" t="s">
        <v>54</v>
      </c>
      <c r="AV322" s="28" t="n">
        <v>81.2575</v>
      </c>
      <c r="AW322" s="28" t="n">
        <v>71</v>
      </c>
      <c r="AX322" s="28" t="n">
        <v>24</v>
      </c>
      <c r="AY322" s="28" t="n">
        <v>1526</v>
      </c>
      <c r="AZ322" s="28" t="n">
        <v>8165</v>
      </c>
      <c r="BA322" s="28" t="n">
        <v>1734</v>
      </c>
      <c r="BB322" s="6" t="n">
        <f aca="false">IF(AU322="Optimal", 1, 0)</f>
        <v>0</v>
      </c>
    </row>
    <row r="323" customFormat="false" ht="12.8" hidden="false" customHeight="false" outlineLevel="0" collapsed="false">
      <c r="A323" s="1" t="n">
        <v>20</v>
      </c>
      <c r="B323" s="23" t="s">
        <v>49</v>
      </c>
      <c r="C323" s="24" t="s">
        <v>153</v>
      </c>
      <c r="D323" s="32" t="n">
        <v>191</v>
      </c>
      <c r="E323" s="32" t="n">
        <v>2360</v>
      </c>
      <c r="F323" s="32" t="n">
        <v>95</v>
      </c>
      <c r="G323" s="32" t="n">
        <v>25</v>
      </c>
      <c r="H323" s="3" t="n">
        <v>1</v>
      </c>
      <c r="I323" s="26" t="s">
        <v>53</v>
      </c>
      <c r="J323" s="26" t="n">
        <f aca="false">IF(I323="tl", 0, 1)</f>
        <v>0</v>
      </c>
      <c r="K323" s="26" t="s">
        <v>53</v>
      </c>
      <c r="L323" s="26" t="n">
        <f aca="false">IF(K323="tl", 0, 1)</f>
        <v>0</v>
      </c>
      <c r="M323" s="26" t="n">
        <v>865.15</v>
      </c>
      <c r="N323" s="26" t="n">
        <f aca="false">IF(M323="tl", 0, 1)</f>
        <v>1</v>
      </c>
      <c r="P323" s="23" t="n">
        <v>0</v>
      </c>
      <c r="Q323" s="23"/>
      <c r="R323" s="2" t="n">
        <f aca="false">IF(S323=C323, 1, 0)</f>
        <v>1</v>
      </c>
      <c r="S323" s="2" t="s">
        <v>153</v>
      </c>
      <c r="T323" s="2" t="n">
        <v>191</v>
      </c>
      <c r="U323" s="2" t="n">
        <v>2360</v>
      </c>
      <c r="V323" s="2" t="s">
        <v>54</v>
      </c>
      <c r="W323" s="2" t="n">
        <v>107</v>
      </c>
      <c r="X323" s="2" t="n">
        <v>20.2021</v>
      </c>
      <c r="Y323" s="2" t="n">
        <v>1800.05</v>
      </c>
      <c r="Z323" s="2" t="n">
        <v>137.902</v>
      </c>
      <c r="AA323" s="2" t="n">
        <v>10243</v>
      </c>
      <c r="AB323" s="2" t="n">
        <v>4</v>
      </c>
      <c r="AC323" s="2" t="n">
        <v>9631</v>
      </c>
      <c r="AD323" s="2" t="n">
        <v>16712</v>
      </c>
      <c r="AE323" s="2" t="n">
        <v>11</v>
      </c>
      <c r="AF323" s="2" t="n">
        <v>0</v>
      </c>
      <c r="AG323" s="2" t="n">
        <v>2</v>
      </c>
      <c r="AH323" s="2" t="n">
        <v>19.2011</v>
      </c>
      <c r="AI323" s="2" t="n">
        <v>107</v>
      </c>
      <c r="AJ323" s="2" t="n">
        <f aca="false">IF(V323="Optimal", 1, 0)</f>
        <v>0</v>
      </c>
      <c r="AK323" s="29" t="b">
        <f aca="false">IF(AJ323=1, W323-G323)</f>
        <v>0</v>
      </c>
      <c r="AL323" s="4" t="n">
        <f aca="false">IF(AND(AH323&lt;&gt;-1, G323&lt;&gt;"-", G323&lt;&gt;"."), ((G323-AH323)/G323)*100, -1)</f>
        <v>23.1956</v>
      </c>
      <c r="AN323" s="5" t="n">
        <f aca="false">IF(AND(AO323=C323, A323=AP323), 1, 0)</f>
        <v>1</v>
      </c>
      <c r="AO323" s="5" t="s">
        <v>153</v>
      </c>
      <c r="AP323" s="5" t="n">
        <v>20</v>
      </c>
      <c r="AQ323" s="5" t="n">
        <v>3600</v>
      </c>
      <c r="AR323" s="5" t="n">
        <v>191</v>
      </c>
      <c r="AS323" s="5" t="n">
        <v>2360</v>
      </c>
      <c r="AT323" s="28" t="n">
        <v>3600.01</v>
      </c>
      <c r="AU323" s="28" t="s">
        <v>54</v>
      </c>
      <c r="AV323" s="28" t="n">
        <v>188.125</v>
      </c>
      <c r="AW323" s="28" t="n">
        <v>148</v>
      </c>
      <c r="AX323" s="28" t="n">
        <v>43</v>
      </c>
      <c r="AY323" s="28" t="n">
        <v>3458</v>
      </c>
      <c r="AZ323" s="28" t="n">
        <v>33619</v>
      </c>
      <c r="BA323" s="28" t="n">
        <v>1</v>
      </c>
      <c r="BB323" s="6" t="n">
        <f aca="false">IF(AU323="Optimal", 1, 0)</f>
        <v>0</v>
      </c>
    </row>
    <row r="324" customFormat="false" ht="12.8" hidden="false" customHeight="false" outlineLevel="0" collapsed="false">
      <c r="A324" s="1" t="n">
        <v>20</v>
      </c>
      <c r="B324" s="23" t="s">
        <v>64</v>
      </c>
      <c r="C324" s="24" t="s">
        <v>154</v>
      </c>
      <c r="D324" s="32" t="n">
        <v>105</v>
      </c>
      <c r="E324" s="32" t="n">
        <v>441</v>
      </c>
      <c r="F324" s="32" t="n">
        <v>43</v>
      </c>
      <c r="G324" s="32" t="n">
        <v>25</v>
      </c>
      <c r="H324" s="3" t="n">
        <v>1</v>
      </c>
      <c r="I324" s="26" t="s">
        <v>53</v>
      </c>
      <c r="J324" s="26" t="n">
        <f aca="false">IF(I324="tl", 0, 1)</f>
        <v>0</v>
      </c>
      <c r="K324" s="26" t="n">
        <v>38.09</v>
      </c>
      <c r="L324" s="26" t="n">
        <f aca="false">IF(K324="tl", 0, 1)</f>
        <v>1</v>
      </c>
      <c r="M324" s="26" t="n">
        <v>2259.55</v>
      </c>
      <c r="N324" s="26" t="n">
        <f aca="false">IF(M324="tl", 0, 1)</f>
        <v>1</v>
      </c>
      <c r="P324" s="23" t="n">
        <v>0</v>
      </c>
      <c r="Q324" s="23"/>
      <c r="R324" s="2" t="n">
        <f aca="false">IF(S324=C324, 1, 0)</f>
        <v>1</v>
      </c>
      <c r="S324" s="2" t="s">
        <v>154</v>
      </c>
      <c r="T324" s="2" t="n">
        <v>105</v>
      </c>
      <c r="U324" s="2" t="n">
        <v>441</v>
      </c>
      <c r="V324" s="2" t="s">
        <v>51</v>
      </c>
      <c r="W324" s="2" t="n">
        <v>25</v>
      </c>
      <c r="X324" s="2" t="n">
        <v>25</v>
      </c>
      <c r="Y324" s="2" t="n">
        <v>631.913</v>
      </c>
      <c r="Z324" s="2" t="n">
        <v>371.416</v>
      </c>
      <c r="AA324" s="2" t="n">
        <v>7039</v>
      </c>
      <c r="AB324" s="2" t="n">
        <v>24</v>
      </c>
      <c r="AC324" s="2" t="n">
        <v>1869</v>
      </c>
      <c r="AD324" s="2" t="n">
        <v>3193</v>
      </c>
      <c r="AE324" s="2" t="n">
        <v>18</v>
      </c>
      <c r="AF324" s="2" t="n">
        <v>0</v>
      </c>
      <c r="AG324" s="2" t="n">
        <v>6</v>
      </c>
      <c r="AH324" s="2" t="n">
        <v>19.3689</v>
      </c>
      <c r="AI324" s="2" t="n">
        <v>43</v>
      </c>
      <c r="AJ324" s="2" t="n">
        <f aca="false">IF(V324="Optimal", 1, 0)</f>
        <v>1</v>
      </c>
      <c r="AK324" s="3" t="n">
        <f aca="false">IF(AJ324=1, W324-G324)</f>
        <v>0</v>
      </c>
      <c r="AL324" s="4" t="n">
        <f aca="false">IF(AND(AH324&lt;&gt;-1, G324&lt;&gt;"-", G324&lt;&gt;"."), ((G324-AH324)/G324)*100, -1)</f>
        <v>22.5244</v>
      </c>
      <c r="AN324" s="5" t="n">
        <f aca="false">IF(AND(AO324=C324, A324=AP324), 1, 0)</f>
        <v>1</v>
      </c>
      <c r="AO324" s="5" t="s">
        <v>154</v>
      </c>
      <c r="AP324" s="5" t="n">
        <v>20</v>
      </c>
      <c r="AQ324" s="5" t="n">
        <v>3600</v>
      </c>
      <c r="AR324" s="5" t="n">
        <v>105</v>
      </c>
      <c r="AS324" s="5" t="n">
        <v>441</v>
      </c>
      <c r="AT324" s="28" t="n">
        <v>3600</v>
      </c>
      <c r="AU324" s="28" t="s">
        <v>54</v>
      </c>
      <c r="AV324" s="28" t="n">
        <v>99.0641</v>
      </c>
      <c r="AW324" s="28" t="n">
        <v>78</v>
      </c>
      <c r="AX324" s="28" t="n">
        <v>27</v>
      </c>
      <c r="AY324" s="28" t="n">
        <v>1704</v>
      </c>
      <c r="AZ324" s="28" t="n">
        <v>8765</v>
      </c>
      <c r="BA324" s="28" t="n">
        <v>1071</v>
      </c>
      <c r="BB324" s="6" t="n">
        <f aca="false">IF(AU324="Optimal", 1, 0)</f>
        <v>0</v>
      </c>
    </row>
    <row r="325" customFormat="false" ht="12.8" hidden="false" customHeight="false" outlineLevel="0" collapsed="false">
      <c r="A325" s="1" t="n">
        <v>20</v>
      </c>
      <c r="B325" s="23" t="s">
        <v>49</v>
      </c>
      <c r="C325" s="24" t="s">
        <v>167</v>
      </c>
      <c r="D325" s="32" t="n">
        <v>125</v>
      </c>
      <c r="E325" s="32" t="n">
        <v>209</v>
      </c>
      <c r="F325" s="32" t="n">
        <v>49</v>
      </c>
      <c r="G325" s="32" t="n">
        <v>5</v>
      </c>
      <c r="H325" s="3" t="n">
        <v>1</v>
      </c>
      <c r="I325" s="26" t="s">
        <v>53</v>
      </c>
      <c r="J325" s="26" t="n">
        <f aca="false">IF(I325="tl", 0, 1)</f>
        <v>0</v>
      </c>
      <c r="K325" s="26" t="n">
        <v>35.53</v>
      </c>
      <c r="L325" s="26" t="n">
        <f aca="false">IF(K325="tl", 0, 1)</f>
        <v>1</v>
      </c>
      <c r="M325" s="26" t="n">
        <v>0.17</v>
      </c>
      <c r="N325" s="26" t="n">
        <f aca="false">IF(M325="tl", 0, 1)</f>
        <v>1</v>
      </c>
      <c r="P325" s="23" t="n">
        <v>0</v>
      </c>
      <c r="Q325" s="23"/>
      <c r="R325" s="2" t="n">
        <f aca="false">IF(S325=C325, 1, 0)</f>
        <v>1</v>
      </c>
      <c r="S325" s="2" t="s">
        <v>167</v>
      </c>
      <c r="T325" s="2" t="n">
        <v>125</v>
      </c>
      <c r="U325" s="2" t="n">
        <v>209</v>
      </c>
      <c r="V325" s="2" t="s">
        <v>51</v>
      </c>
      <c r="W325" s="2" t="n">
        <v>5</v>
      </c>
      <c r="X325" s="2" t="n">
        <v>5</v>
      </c>
      <c r="Y325" s="2" t="n">
        <v>3.70567</v>
      </c>
      <c r="Z325" s="2" t="n">
        <v>2.38916</v>
      </c>
      <c r="AA325" s="2" t="n">
        <v>416</v>
      </c>
      <c r="AB325" s="2" t="n">
        <v>10</v>
      </c>
      <c r="AC325" s="2" t="n">
        <v>961</v>
      </c>
      <c r="AD325" s="2" t="n">
        <v>1589</v>
      </c>
      <c r="AE325" s="2" t="n">
        <v>54</v>
      </c>
      <c r="AF325" s="2" t="n">
        <v>0</v>
      </c>
      <c r="AG325" s="2" t="n">
        <v>4</v>
      </c>
      <c r="AH325" s="2" t="n">
        <v>4.6</v>
      </c>
      <c r="AI325" s="2" t="n">
        <v>7</v>
      </c>
      <c r="AJ325" s="2" t="n">
        <f aca="false">IF(V325="Optimal", 1, 0)</f>
        <v>1</v>
      </c>
      <c r="AK325" s="3" t="n">
        <f aca="false">IF(AJ325=1, W325-G325)</f>
        <v>0</v>
      </c>
      <c r="AL325" s="4" t="n">
        <f aca="false">IF(AND(AH325&lt;&gt;-1, G325&lt;&gt;"-", G325&lt;&gt;"."), ((G325-AH325)/G325)*100, -1)</f>
        <v>8.00000000000001</v>
      </c>
      <c r="AN325" s="5" t="n">
        <f aca="false">IF(AND(AO325=C325, A325=AP325), 1, 0)</f>
        <v>1</v>
      </c>
      <c r="AO325" s="5" t="s">
        <v>167</v>
      </c>
      <c r="AP325" s="5" t="n">
        <v>20</v>
      </c>
      <c r="AQ325" s="5" t="n">
        <v>3600</v>
      </c>
      <c r="AR325" s="5" t="n">
        <v>125</v>
      </c>
      <c r="AS325" s="5" t="n">
        <v>209</v>
      </c>
      <c r="AT325" s="28" t="n">
        <v>3600</v>
      </c>
      <c r="AU325" s="28" t="s">
        <v>54</v>
      </c>
      <c r="AV325" s="28" t="n">
        <v>125</v>
      </c>
      <c r="AW325" s="28" t="n">
        <v>118</v>
      </c>
      <c r="AX325" s="28" t="n">
        <v>7</v>
      </c>
      <c r="AY325" s="28" t="n">
        <v>2300</v>
      </c>
      <c r="AZ325" s="28" t="n">
        <v>4027</v>
      </c>
      <c r="BA325" s="28" t="n">
        <v>3399</v>
      </c>
      <c r="BB325" s="6" t="n">
        <f aca="false">IF(AU325="Optimal", 1, 0)</f>
        <v>0</v>
      </c>
    </row>
    <row r="326" customFormat="false" ht="12.8" hidden="false" customHeight="false" outlineLevel="0" collapsed="false">
      <c r="A326" s="1" t="n">
        <v>20</v>
      </c>
      <c r="B326" s="23" t="s">
        <v>67</v>
      </c>
      <c r="C326" s="24" t="s">
        <v>170</v>
      </c>
      <c r="D326" s="32" t="n">
        <v>136</v>
      </c>
      <c r="E326" s="32" t="n">
        <v>641</v>
      </c>
      <c r="F326" s="32" t="n">
        <v>39</v>
      </c>
      <c r="G326" s="32" t="s">
        <v>77</v>
      </c>
      <c r="H326" s="3" t="n">
        <v>0</v>
      </c>
      <c r="I326" s="25" t="s">
        <v>53</v>
      </c>
      <c r="J326" s="26" t="n">
        <f aca="false">IF(I326="tl", 0, 1)</f>
        <v>0</v>
      </c>
      <c r="K326" s="25" t="s">
        <v>53</v>
      </c>
      <c r="L326" s="26" t="n">
        <f aca="false">IF(K326="tl", 0, 1)</f>
        <v>0</v>
      </c>
      <c r="M326" s="25" t="s">
        <v>53</v>
      </c>
      <c r="N326" s="26" t="n">
        <f aca="false">IF(M326="tl", 0, 1)</f>
        <v>0</v>
      </c>
      <c r="P326" s="23" t="n">
        <v>0</v>
      </c>
      <c r="Q326" s="23"/>
      <c r="R326" s="2" t="n">
        <f aca="false">IF(S326=C326, 1, 0)</f>
        <v>1</v>
      </c>
      <c r="S326" s="2" t="s">
        <v>170</v>
      </c>
      <c r="T326" s="2" t="n">
        <v>136</v>
      </c>
      <c r="U326" s="2" t="n">
        <v>641</v>
      </c>
      <c r="V326" s="2" t="s">
        <v>54</v>
      </c>
      <c r="W326" s="2" t="n">
        <v>85</v>
      </c>
      <c r="X326" s="2" t="n">
        <v>21.4407</v>
      </c>
      <c r="Y326" s="2" t="n">
        <v>1800.02</v>
      </c>
      <c r="Z326" s="2" t="n">
        <v>1156.14</v>
      </c>
      <c r="AA326" s="2" t="n">
        <v>11984</v>
      </c>
      <c r="AB326" s="2" t="n">
        <v>266</v>
      </c>
      <c r="AC326" s="2" t="n">
        <v>2700</v>
      </c>
      <c r="AD326" s="2" t="n">
        <v>4624</v>
      </c>
      <c r="AE326" s="2" t="n">
        <v>18</v>
      </c>
      <c r="AF326" s="2" t="n">
        <v>0</v>
      </c>
      <c r="AG326" s="2" t="n">
        <v>80</v>
      </c>
      <c r="AH326" s="2" t="n">
        <v>19</v>
      </c>
      <c r="AI326" s="2" t="n">
        <v>93</v>
      </c>
      <c r="AJ326" s="2" t="n">
        <f aca="false">IF(V326="Optimal", 1, 0)</f>
        <v>0</v>
      </c>
      <c r="AK326" s="29" t="b">
        <f aca="false">IF(AJ326=1, W326-G326)</f>
        <v>0</v>
      </c>
      <c r="AL326" s="4" t="n">
        <f aca="false">IF(AND(AH326&lt;&gt;-1, G326&lt;&gt;"-", G326&lt;&gt;"."), ((G326-AH326)/G326)*100, -1)</f>
        <v>-1</v>
      </c>
      <c r="AN326" s="5" t="n">
        <f aca="false">IF(AND(AO326=C326, A326=AP326), 1, 0)</f>
        <v>1</v>
      </c>
      <c r="AO326" s="5" t="s">
        <v>170</v>
      </c>
      <c r="AP326" s="5" t="n">
        <v>20</v>
      </c>
      <c r="AQ326" s="5" t="n">
        <v>3600</v>
      </c>
      <c r="AR326" s="5" t="n">
        <v>136</v>
      </c>
      <c r="AS326" s="5" t="n">
        <v>641</v>
      </c>
      <c r="AT326" s="28" t="n">
        <v>3600.01</v>
      </c>
      <c r="AU326" s="28" t="s">
        <v>54</v>
      </c>
      <c r="AV326" s="28" t="n">
        <v>134.221</v>
      </c>
      <c r="AW326" s="28" t="n">
        <v>55</v>
      </c>
      <c r="AX326" s="28" t="n">
        <v>82</v>
      </c>
      <c r="AY326" s="28" t="n">
        <v>2530</v>
      </c>
      <c r="AZ326" s="28" t="n">
        <v>12259</v>
      </c>
      <c r="BA326" s="28" t="n">
        <v>11</v>
      </c>
      <c r="BB326" s="6" t="n">
        <f aca="false">IF(AU326="Optimal", 1, 0)</f>
        <v>0</v>
      </c>
    </row>
    <row r="327" customFormat="false" ht="12.8" hidden="false" customHeight="false" outlineLevel="0" collapsed="false">
      <c r="A327" s="1" t="n">
        <v>20</v>
      </c>
      <c r="B327" s="23" t="s">
        <v>67</v>
      </c>
      <c r="C327" s="24" t="s">
        <v>173</v>
      </c>
      <c r="D327" s="32" t="n">
        <v>132</v>
      </c>
      <c r="E327" s="32" t="n">
        <v>560</v>
      </c>
      <c r="F327" s="32" t="n">
        <v>39</v>
      </c>
      <c r="G327" s="32" t="n">
        <v>29</v>
      </c>
      <c r="H327" s="3" t="n">
        <v>1</v>
      </c>
      <c r="I327" s="25" t="s">
        <v>53</v>
      </c>
      <c r="J327" s="26" t="n">
        <f aca="false">IF(I327="tl", 0, 1)</f>
        <v>0</v>
      </c>
      <c r="K327" s="25" t="n">
        <v>169.35</v>
      </c>
      <c r="L327" s="26" t="n">
        <f aca="false">IF(K327="tl", 0, 1)</f>
        <v>1</v>
      </c>
      <c r="M327" s="25" t="s">
        <v>53</v>
      </c>
      <c r="N327" s="26" t="n">
        <f aca="false">IF(M327="tl", 0, 1)</f>
        <v>0</v>
      </c>
      <c r="P327" s="23" t="n">
        <v>0</v>
      </c>
      <c r="Q327" s="23"/>
      <c r="R327" s="2" t="n">
        <f aca="false">IF(S327=C327, 1, 0)</f>
        <v>1</v>
      </c>
      <c r="S327" s="2" t="s">
        <v>173</v>
      </c>
      <c r="T327" s="2" t="n">
        <v>132</v>
      </c>
      <c r="U327" s="2" t="n">
        <v>560</v>
      </c>
      <c r="V327" s="2" t="s">
        <v>54</v>
      </c>
      <c r="W327" s="2" t="n">
        <v>73</v>
      </c>
      <c r="X327" s="2" t="n">
        <v>19.9149</v>
      </c>
      <c r="Y327" s="2" t="n">
        <v>1800</v>
      </c>
      <c r="Z327" s="2" t="n">
        <v>863.781</v>
      </c>
      <c r="AA327" s="2" t="n">
        <v>11094</v>
      </c>
      <c r="AB327" s="2" t="n">
        <v>61</v>
      </c>
      <c r="AC327" s="2" t="n">
        <v>2372</v>
      </c>
      <c r="AD327" s="2" t="n">
        <v>4053</v>
      </c>
      <c r="AE327" s="2" t="n">
        <v>52</v>
      </c>
      <c r="AF327" s="2" t="n">
        <v>0</v>
      </c>
      <c r="AG327" s="2" t="n">
        <v>27</v>
      </c>
      <c r="AH327" s="2" t="n">
        <v>19</v>
      </c>
      <c r="AI327" s="2" t="n">
        <v>73</v>
      </c>
      <c r="AJ327" s="2" t="n">
        <f aca="false">IF(V327="Optimal", 1, 0)</f>
        <v>0</v>
      </c>
      <c r="AK327" s="29" t="b">
        <f aca="false">IF(AJ327=1, W327-G327)</f>
        <v>0</v>
      </c>
      <c r="AL327" s="4" t="n">
        <f aca="false">IF(AND(AH327&lt;&gt;-1, G327&lt;&gt;"-", G327&lt;&gt;"."), ((G327-AH327)/G327)*100, -1)</f>
        <v>34.4827586206897</v>
      </c>
      <c r="AN327" s="5" t="n">
        <f aca="false">IF(AND(AO327=C327, A327=AP327), 1, 0)</f>
        <v>1</v>
      </c>
      <c r="AO327" s="5" t="s">
        <v>173</v>
      </c>
      <c r="AP327" s="5" t="n">
        <v>20</v>
      </c>
      <c r="AQ327" s="5" t="n">
        <v>3600</v>
      </c>
      <c r="AR327" s="5" t="n">
        <v>132</v>
      </c>
      <c r="AS327" s="5" t="n">
        <v>560</v>
      </c>
      <c r="AT327" s="28" t="n">
        <v>3600</v>
      </c>
      <c r="AU327" s="28" t="s">
        <v>54</v>
      </c>
      <c r="AV327" s="28" t="n">
        <v>129.867</v>
      </c>
      <c r="AW327" s="28" t="n">
        <v>91</v>
      </c>
      <c r="AX327" s="28" t="n">
        <v>42</v>
      </c>
      <c r="AY327" s="28" t="n">
        <v>2313</v>
      </c>
      <c r="AZ327" s="28" t="n">
        <v>12109</v>
      </c>
      <c r="BA327" s="28" t="n">
        <v>1327</v>
      </c>
      <c r="BB327" s="6" t="n">
        <f aca="false">IF(AU327="Optimal", 1, 0)</f>
        <v>0</v>
      </c>
    </row>
  </sheetData>
  <autoFilter ref="A4:AJ327"/>
  <mergeCells count="4">
    <mergeCell ref="H1:N1"/>
    <mergeCell ref="I3:M3"/>
    <mergeCell ref="S3:AJ3"/>
    <mergeCell ref="AO3:BB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D28" activeCellId="0" sqref="D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2.15"/>
    <col collapsed="false" customWidth="true" hidden="false" outlineLevel="0" max="2" min="2" style="2" width="11.12"/>
    <col collapsed="false" customWidth="true" hidden="false" outlineLevel="0" max="3" min="3" style="2" width="16.57"/>
    <col collapsed="false" customWidth="true" hidden="false" outlineLevel="0" max="4" min="4" style="2" width="22.26"/>
    <col collapsed="false" customWidth="true" hidden="false" outlineLevel="0" max="5" min="5" style="2" width="26.31"/>
    <col collapsed="false" customWidth="true" hidden="false" outlineLevel="0" max="6" min="6" style="2" width="22.89"/>
    <col collapsed="false" customWidth="true" hidden="false" outlineLevel="0" max="7" min="7" style="2" width="10.62"/>
    <col collapsed="false" customWidth="true" hidden="false" outlineLevel="0" max="8" min="8" style="2" width="14.67"/>
    <col collapsed="false" customWidth="true" hidden="false" outlineLevel="0" max="9" min="9" style="2" width="11.26"/>
  </cols>
  <sheetData>
    <row r="1" customFormat="false" ht="12.8" hidden="false" customHeight="false" outlineLevel="0" collapsed="false">
      <c r="A1" s="43" t="s">
        <v>176</v>
      </c>
      <c r="B1" s="44" t="s">
        <v>177</v>
      </c>
      <c r="C1" s="0"/>
      <c r="D1" s="0"/>
      <c r="E1" s="0"/>
      <c r="F1" s="0"/>
      <c r="G1" s="0"/>
      <c r="H1" s="0"/>
      <c r="I1" s="0"/>
    </row>
    <row r="2" customFormat="false" ht="12.8" hidden="false" customHeight="false" outlineLevel="0" collapsed="false">
      <c r="A2" s="0"/>
      <c r="B2" s="0"/>
      <c r="C2" s="0"/>
      <c r="D2" s="0"/>
      <c r="E2" s="0"/>
      <c r="F2" s="0"/>
      <c r="G2" s="0"/>
      <c r="H2" s="0"/>
      <c r="I2" s="0"/>
    </row>
    <row r="3" customFormat="false" ht="12.8" hidden="false" customHeight="false" outlineLevel="0" collapsed="false">
      <c r="A3" s="45"/>
      <c r="B3" s="46"/>
      <c r="C3" s="47" t="s">
        <v>178</v>
      </c>
      <c r="D3" s="48"/>
      <c r="E3" s="48"/>
      <c r="F3" s="48"/>
      <c r="G3" s="48"/>
      <c r="H3" s="48"/>
      <c r="I3" s="49"/>
    </row>
    <row r="4" customFormat="false" ht="12.8" hidden="false" customHeight="false" outlineLevel="0" collapsed="false">
      <c r="A4" s="50" t="s">
        <v>5</v>
      </c>
      <c r="B4" s="51" t="s">
        <v>6</v>
      </c>
      <c r="C4" s="52" t="s">
        <v>179</v>
      </c>
      <c r="D4" s="53" t="s">
        <v>180</v>
      </c>
      <c r="E4" s="53" t="s">
        <v>180</v>
      </c>
      <c r="F4" s="53" t="s">
        <v>180</v>
      </c>
      <c r="G4" s="53" t="s">
        <v>181</v>
      </c>
      <c r="H4" s="53" t="s">
        <v>181</v>
      </c>
      <c r="I4" s="54" t="s">
        <v>181</v>
      </c>
    </row>
    <row r="5" customFormat="false" ht="12.8" hidden="false" customHeight="false" outlineLevel="0" collapsed="false">
      <c r="A5" s="55" t="n">
        <v>5</v>
      </c>
      <c r="B5" s="56" t="s">
        <v>49</v>
      </c>
      <c r="C5" s="57" t="n">
        <v>24</v>
      </c>
      <c r="D5" s="58" t="n">
        <v>1</v>
      </c>
      <c r="E5" s="58" t="n">
        <v>1</v>
      </c>
      <c r="F5" s="58" t="n">
        <v>1</v>
      </c>
      <c r="G5" s="58" t="n">
        <v>0</v>
      </c>
      <c r="H5" s="58" t="n">
        <v>0</v>
      </c>
      <c r="I5" s="59" t="n">
        <v>0</v>
      </c>
    </row>
    <row r="6" customFormat="false" ht="12.8" hidden="false" customHeight="false" outlineLevel="0" collapsed="false">
      <c r="A6" s="60"/>
      <c r="B6" s="61" t="s">
        <v>64</v>
      </c>
      <c r="C6" s="62" t="n">
        <v>5</v>
      </c>
      <c r="D6" s="63" t="n">
        <v>1</v>
      </c>
      <c r="E6" s="63" t="n">
        <v>1</v>
      </c>
      <c r="F6" s="63" t="n">
        <v>1</v>
      </c>
      <c r="G6" s="63" t="n">
        <v>0</v>
      </c>
      <c r="H6" s="63" t="n">
        <v>0</v>
      </c>
      <c r="I6" s="64" t="n">
        <v>0</v>
      </c>
    </row>
    <row r="7" customFormat="false" ht="12.8" hidden="false" customHeight="false" outlineLevel="0" collapsed="false">
      <c r="A7" s="65"/>
      <c r="B7" s="66" t="s">
        <v>67</v>
      </c>
      <c r="C7" s="67" t="n">
        <v>12</v>
      </c>
      <c r="D7" s="68" t="n">
        <v>3</v>
      </c>
      <c r="E7" s="68" t="n">
        <v>3</v>
      </c>
      <c r="F7" s="68" t="n">
        <v>3</v>
      </c>
      <c r="G7" s="68" t="n">
        <v>1</v>
      </c>
      <c r="H7" s="68" t="n">
        <v>1</v>
      </c>
      <c r="I7" s="69" t="n">
        <v>1</v>
      </c>
    </row>
    <row r="8" customFormat="false" ht="12.8" hidden="false" customHeight="false" outlineLevel="0" collapsed="false">
      <c r="A8" s="55" t="n">
        <v>10</v>
      </c>
      <c r="B8" s="56" t="s">
        <v>49</v>
      </c>
      <c r="C8" s="57" t="n">
        <v>21</v>
      </c>
      <c r="D8" s="58" t="n">
        <v>1</v>
      </c>
      <c r="E8" s="58" t="n">
        <v>1</v>
      </c>
      <c r="F8" s="58" t="n">
        <v>1</v>
      </c>
      <c r="G8" s="58" t="n">
        <v>0</v>
      </c>
      <c r="H8" s="58" t="n">
        <v>0</v>
      </c>
      <c r="I8" s="59" t="n">
        <v>0</v>
      </c>
    </row>
    <row r="9" customFormat="false" ht="12.8" hidden="false" customHeight="false" outlineLevel="0" collapsed="false">
      <c r="A9" s="60"/>
      <c r="B9" s="61" t="s">
        <v>64</v>
      </c>
      <c r="C9" s="62" t="n">
        <v>5</v>
      </c>
      <c r="D9" s="63" t="n">
        <v>1</v>
      </c>
      <c r="E9" s="63" t="n">
        <v>1</v>
      </c>
      <c r="F9" s="63" t="n">
        <v>1</v>
      </c>
      <c r="G9" s="63" t="n">
        <v>0</v>
      </c>
      <c r="H9" s="63" t="n">
        <v>0</v>
      </c>
      <c r="I9" s="64" t="n">
        <v>0</v>
      </c>
    </row>
    <row r="10" customFormat="false" ht="12.8" hidden="false" customHeight="false" outlineLevel="0" collapsed="false">
      <c r="A10" s="65"/>
      <c r="B10" s="66" t="s">
        <v>67</v>
      </c>
      <c r="C10" s="67" t="n">
        <v>7</v>
      </c>
      <c r="D10" s="68" t="n">
        <v>3</v>
      </c>
      <c r="E10" s="68" t="n">
        <v>3</v>
      </c>
      <c r="F10" s="68" t="n">
        <v>3</v>
      </c>
      <c r="G10" s="68" t="n">
        <v>1</v>
      </c>
      <c r="H10" s="68" t="n">
        <v>1</v>
      </c>
      <c r="I10" s="69" t="n">
        <v>1</v>
      </c>
    </row>
    <row r="11" customFormat="false" ht="12.8" hidden="false" customHeight="false" outlineLevel="0" collapsed="false">
      <c r="A11" s="55" t="n">
        <v>15</v>
      </c>
      <c r="B11" s="56" t="s">
        <v>49</v>
      </c>
      <c r="C11" s="57" t="n">
        <v>18</v>
      </c>
      <c r="D11" s="58" t="n">
        <v>1</v>
      </c>
      <c r="E11" s="58" t="n">
        <v>1</v>
      </c>
      <c r="F11" s="58" t="n">
        <v>1</v>
      </c>
      <c r="G11" s="58" t="n">
        <v>0</v>
      </c>
      <c r="H11" s="58" t="n">
        <v>0</v>
      </c>
      <c r="I11" s="59" t="n">
        <v>0</v>
      </c>
    </row>
    <row r="12" customFormat="false" ht="12.8" hidden="false" customHeight="false" outlineLevel="0" collapsed="false">
      <c r="A12" s="60"/>
      <c r="B12" s="61" t="s">
        <v>64</v>
      </c>
      <c r="C12" s="62" t="n">
        <v>7</v>
      </c>
      <c r="D12" s="63" t="n">
        <v>1</v>
      </c>
      <c r="E12" s="63" t="n">
        <v>1</v>
      </c>
      <c r="F12" s="63" t="n">
        <v>1</v>
      </c>
      <c r="G12" s="63" t="n">
        <v>0</v>
      </c>
      <c r="H12" s="63" t="n">
        <v>0</v>
      </c>
      <c r="I12" s="64" t="n">
        <v>0</v>
      </c>
    </row>
    <row r="13" customFormat="false" ht="12.8" hidden="false" customHeight="false" outlineLevel="0" collapsed="false">
      <c r="A13" s="65"/>
      <c r="B13" s="66" t="s">
        <v>67</v>
      </c>
      <c r="C13" s="67" t="n">
        <v>4</v>
      </c>
      <c r="D13" s="68" t="n">
        <v>84</v>
      </c>
      <c r="E13" s="68" t="n">
        <v>84</v>
      </c>
      <c r="F13" s="68" t="n">
        <v>84</v>
      </c>
      <c r="G13" s="68" t="n">
        <v>12</v>
      </c>
      <c r="H13" s="68" t="n">
        <v>12</v>
      </c>
      <c r="I13" s="69" t="n">
        <v>12</v>
      </c>
    </row>
    <row r="14" customFormat="false" ht="12.8" hidden="false" customHeight="false" outlineLevel="0" collapsed="false">
      <c r="A14" s="55" t="n">
        <v>20</v>
      </c>
      <c r="B14" s="56" t="s">
        <v>49</v>
      </c>
      <c r="C14" s="57" t="n">
        <v>17</v>
      </c>
      <c r="D14" s="58" t="n">
        <v>1</v>
      </c>
      <c r="E14" s="58" t="n">
        <v>1</v>
      </c>
      <c r="F14" s="58" t="n">
        <v>1</v>
      </c>
      <c r="G14" s="58" t="n">
        <v>0</v>
      </c>
      <c r="H14" s="58" t="n">
        <v>0</v>
      </c>
      <c r="I14" s="59" t="n">
        <v>0</v>
      </c>
    </row>
    <row r="15" customFormat="false" ht="12.8" hidden="false" customHeight="false" outlineLevel="0" collapsed="false">
      <c r="A15" s="60"/>
      <c r="B15" s="61" t="s">
        <v>64</v>
      </c>
      <c r="C15" s="62" t="n">
        <v>5</v>
      </c>
      <c r="D15" s="63" t="n">
        <v>1</v>
      </c>
      <c r="E15" s="63" t="n">
        <v>1</v>
      </c>
      <c r="F15" s="63" t="n">
        <v>1</v>
      </c>
      <c r="G15" s="63" t="n">
        <v>0</v>
      </c>
      <c r="H15" s="63" t="n">
        <v>0</v>
      </c>
      <c r="I15" s="64" t="n">
        <v>0</v>
      </c>
    </row>
    <row r="16" customFormat="false" ht="12.8" hidden="false" customHeight="false" outlineLevel="0" collapsed="false">
      <c r="A16" s="65"/>
      <c r="B16" s="66" t="s">
        <v>67</v>
      </c>
      <c r="C16" s="67" t="n">
        <v>1</v>
      </c>
      <c r="D16" s="68" t="n">
        <v>271</v>
      </c>
      <c r="E16" s="68" t="n">
        <v>271</v>
      </c>
      <c r="F16" s="68" t="n">
        <v>271</v>
      </c>
      <c r="G16" s="68" t="n">
        <v>24</v>
      </c>
      <c r="H16" s="68" t="n">
        <v>24</v>
      </c>
      <c r="I16" s="69" t="n">
        <v>24</v>
      </c>
    </row>
    <row r="17" customFormat="false" ht="12.8" hidden="false" customHeight="false" outlineLevel="0" collapsed="false">
      <c r="A17" s="70" t="s">
        <v>182</v>
      </c>
      <c r="B17" s="71"/>
      <c r="C17" s="72" t="n">
        <v>126</v>
      </c>
      <c r="D17" s="73" t="n">
        <v>1</v>
      </c>
      <c r="E17" s="73" t="n">
        <v>1</v>
      </c>
      <c r="F17" s="73" t="n">
        <v>1</v>
      </c>
      <c r="G17" s="73" t="n">
        <v>0</v>
      </c>
      <c r="H17" s="73" t="n">
        <v>0</v>
      </c>
      <c r="I17" s="7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48" activeCellId="0" sqref="G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2.15"/>
    <col collapsed="false" customWidth="true" hidden="false" outlineLevel="0" max="2" min="2" style="2" width="11.12"/>
    <col collapsed="false" customWidth="true" hidden="false" outlineLevel="0" max="3" min="3" style="2" width="16.57"/>
    <col collapsed="false" customWidth="true" hidden="false" outlineLevel="0" max="4" min="4" style="2" width="12.52"/>
    <col collapsed="false" customWidth="true" hidden="false" outlineLevel="0" max="5" min="5" style="2" width="16.57"/>
    <col collapsed="false" customWidth="true" hidden="false" outlineLevel="0" max="6" min="6" style="2" width="13.15"/>
    <col collapsed="false" customWidth="true" hidden="false" outlineLevel="0" max="7" min="7" style="2" width="18.34"/>
    <col collapsed="false" customWidth="true" hidden="false" outlineLevel="0" max="8" min="8" style="2" width="22.39"/>
    <col collapsed="false" customWidth="true" hidden="false" outlineLevel="0" max="9" min="9" style="2" width="18.97"/>
  </cols>
  <sheetData>
    <row r="1" customFormat="false" ht="12.8" hidden="false" customHeight="false" outlineLevel="0" collapsed="false">
      <c r="A1" s="43" t="s">
        <v>176</v>
      </c>
      <c r="B1" s="44" t="s">
        <v>177</v>
      </c>
      <c r="C1" s="0"/>
      <c r="D1" s="0"/>
      <c r="E1" s="0"/>
      <c r="F1" s="0"/>
      <c r="G1" s="0"/>
      <c r="H1" s="0"/>
      <c r="I1" s="0"/>
    </row>
    <row r="2" customFormat="false" ht="12.8" hidden="false" customHeight="false" outlineLevel="0" collapsed="false">
      <c r="A2" s="0"/>
      <c r="B2" s="0"/>
      <c r="C2" s="0"/>
      <c r="D2" s="0"/>
      <c r="E2" s="0"/>
      <c r="F2" s="0"/>
      <c r="G2" s="0"/>
      <c r="H2" s="0"/>
      <c r="I2" s="0"/>
    </row>
    <row r="3" customFormat="false" ht="12.8" hidden="false" customHeight="false" outlineLevel="0" collapsed="false">
      <c r="A3" s="45"/>
      <c r="B3" s="46"/>
      <c r="C3" s="47" t="s">
        <v>178</v>
      </c>
      <c r="D3" s="48"/>
      <c r="E3" s="48"/>
      <c r="F3" s="48"/>
      <c r="G3" s="48"/>
      <c r="H3" s="48"/>
      <c r="I3" s="49"/>
    </row>
    <row r="4" customFormat="false" ht="12.8" hidden="false" customHeight="false" outlineLevel="0" collapsed="false">
      <c r="A4" s="50" t="s">
        <v>5</v>
      </c>
      <c r="B4" s="51" t="s">
        <v>6</v>
      </c>
      <c r="C4" s="52" t="s">
        <v>179</v>
      </c>
      <c r="D4" s="53" t="s">
        <v>183</v>
      </c>
      <c r="E4" s="53" t="s">
        <v>183</v>
      </c>
      <c r="F4" s="53" t="s">
        <v>183</v>
      </c>
      <c r="G4" s="53" t="s">
        <v>184</v>
      </c>
      <c r="H4" s="53" t="s">
        <v>184</v>
      </c>
      <c r="I4" s="54" t="s">
        <v>184</v>
      </c>
    </row>
    <row r="5" customFormat="false" ht="12.8" hidden="false" customHeight="false" outlineLevel="0" collapsed="false">
      <c r="A5" s="55" t="n">
        <v>5</v>
      </c>
      <c r="B5" s="56" t="s">
        <v>49</v>
      </c>
      <c r="C5" s="57" t="n">
        <v>24</v>
      </c>
      <c r="D5" s="58" t="n">
        <v>34</v>
      </c>
      <c r="E5" s="58" t="n">
        <v>34</v>
      </c>
      <c r="F5" s="58" t="n">
        <v>34</v>
      </c>
      <c r="G5" s="58" t="n">
        <v>1</v>
      </c>
      <c r="H5" s="58" t="n">
        <v>1</v>
      </c>
      <c r="I5" s="59" t="n">
        <v>1</v>
      </c>
    </row>
    <row r="6" customFormat="false" ht="12.8" hidden="false" customHeight="false" outlineLevel="0" collapsed="false">
      <c r="A6" s="60"/>
      <c r="B6" s="61" t="s">
        <v>64</v>
      </c>
      <c r="C6" s="62" t="n">
        <v>5</v>
      </c>
      <c r="D6" s="63" t="n">
        <v>157</v>
      </c>
      <c r="E6" s="63" t="n">
        <v>157</v>
      </c>
      <c r="F6" s="63" t="n">
        <v>157</v>
      </c>
      <c r="G6" s="63" t="n">
        <v>2</v>
      </c>
      <c r="H6" s="63" t="n">
        <v>2</v>
      </c>
      <c r="I6" s="64" t="n">
        <v>2</v>
      </c>
    </row>
    <row r="7" customFormat="false" ht="12.8" hidden="false" customHeight="false" outlineLevel="0" collapsed="false">
      <c r="A7" s="65"/>
      <c r="B7" s="66" t="s">
        <v>67</v>
      </c>
      <c r="C7" s="67" t="n">
        <v>12</v>
      </c>
      <c r="D7" s="68" t="n">
        <v>656</v>
      </c>
      <c r="E7" s="68" t="n">
        <v>656</v>
      </c>
      <c r="F7" s="68" t="n">
        <v>656</v>
      </c>
      <c r="G7" s="68" t="n">
        <v>2</v>
      </c>
      <c r="H7" s="68" t="n">
        <v>2</v>
      </c>
      <c r="I7" s="69" t="n">
        <v>2</v>
      </c>
    </row>
    <row r="8" customFormat="false" ht="12.8" hidden="false" customHeight="false" outlineLevel="0" collapsed="false">
      <c r="A8" s="55" t="n">
        <v>10</v>
      </c>
      <c r="B8" s="56" t="s">
        <v>49</v>
      </c>
      <c r="C8" s="57" t="n">
        <v>21</v>
      </c>
      <c r="D8" s="58" t="n">
        <v>108</v>
      </c>
      <c r="E8" s="58" t="n">
        <v>108</v>
      </c>
      <c r="F8" s="58" t="n">
        <v>108</v>
      </c>
      <c r="G8" s="58" t="n">
        <v>1</v>
      </c>
      <c r="H8" s="58" t="n">
        <v>1</v>
      </c>
      <c r="I8" s="59" t="n">
        <v>1</v>
      </c>
    </row>
    <row r="9" customFormat="false" ht="12.8" hidden="false" customHeight="false" outlineLevel="0" collapsed="false">
      <c r="A9" s="60"/>
      <c r="B9" s="61" t="s">
        <v>64</v>
      </c>
      <c r="C9" s="62" t="n">
        <v>5</v>
      </c>
      <c r="D9" s="63" t="n">
        <v>148</v>
      </c>
      <c r="E9" s="63" t="n">
        <v>148</v>
      </c>
      <c r="F9" s="63" t="n">
        <v>148</v>
      </c>
      <c r="G9" s="63" t="n">
        <v>1</v>
      </c>
      <c r="H9" s="63" t="n">
        <v>1</v>
      </c>
      <c r="I9" s="64" t="n">
        <v>1</v>
      </c>
    </row>
    <row r="10" customFormat="false" ht="12.8" hidden="false" customHeight="false" outlineLevel="0" collapsed="false">
      <c r="A10" s="65"/>
      <c r="B10" s="66" t="s">
        <v>67</v>
      </c>
      <c r="C10" s="67" t="n">
        <v>7</v>
      </c>
      <c r="D10" s="68" t="n">
        <v>892</v>
      </c>
      <c r="E10" s="68" t="n">
        <v>892</v>
      </c>
      <c r="F10" s="68" t="n">
        <v>892</v>
      </c>
      <c r="G10" s="68" t="n">
        <v>13</v>
      </c>
      <c r="H10" s="68" t="n">
        <v>13</v>
      </c>
      <c r="I10" s="69" t="n">
        <v>13</v>
      </c>
    </row>
    <row r="11" customFormat="false" ht="12.8" hidden="false" customHeight="false" outlineLevel="0" collapsed="false">
      <c r="A11" s="55" t="n">
        <v>15</v>
      </c>
      <c r="B11" s="56" t="s">
        <v>49</v>
      </c>
      <c r="C11" s="57" t="n">
        <v>18</v>
      </c>
      <c r="D11" s="58" t="n">
        <v>115</v>
      </c>
      <c r="E11" s="58" t="n">
        <v>115</v>
      </c>
      <c r="F11" s="58" t="n">
        <v>115</v>
      </c>
      <c r="G11" s="58" t="n">
        <v>1</v>
      </c>
      <c r="H11" s="58" t="n">
        <v>1</v>
      </c>
      <c r="I11" s="59" t="n">
        <v>1</v>
      </c>
    </row>
    <row r="12" customFormat="false" ht="12.8" hidden="false" customHeight="false" outlineLevel="0" collapsed="false">
      <c r="A12" s="60"/>
      <c r="B12" s="61" t="s">
        <v>64</v>
      </c>
      <c r="C12" s="62" t="n">
        <v>7</v>
      </c>
      <c r="D12" s="63" t="n">
        <v>119</v>
      </c>
      <c r="E12" s="63" t="n">
        <v>119</v>
      </c>
      <c r="F12" s="63" t="n">
        <v>119</v>
      </c>
      <c r="G12" s="63" t="n">
        <v>2</v>
      </c>
      <c r="H12" s="63" t="n">
        <v>2</v>
      </c>
      <c r="I12" s="64" t="n">
        <v>2</v>
      </c>
    </row>
    <row r="13" customFormat="false" ht="12.8" hidden="false" customHeight="false" outlineLevel="0" collapsed="false">
      <c r="A13" s="65"/>
      <c r="B13" s="66" t="s">
        <v>67</v>
      </c>
      <c r="C13" s="67" t="n">
        <v>4</v>
      </c>
      <c r="D13" s="68" t="n">
        <v>963</v>
      </c>
      <c r="E13" s="68" t="n">
        <v>963</v>
      </c>
      <c r="F13" s="68" t="n">
        <v>963</v>
      </c>
      <c r="G13" s="68" t="n">
        <v>4</v>
      </c>
      <c r="H13" s="68" t="n">
        <v>4</v>
      </c>
      <c r="I13" s="69" t="n">
        <v>4</v>
      </c>
    </row>
    <row r="14" customFormat="false" ht="12.8" hidden="false" customHeight="false" outlineLevel="0" collapsed="false">
      <c r="A14" s="55" t="n">
        <v>20</v>
      </c>
      <c r="B14" s="56" t="s">
        <v>49</v>
      </c>
      <c r="C14" s="57" t="n">
        <v>17</v>
      </c>
      <c r="D14" s="58" t="n">
        <v>206</v>
      </c>
      <c r="E14" s="58" t="n">
        <v>206</v>
      </c>
      <c r="F14" s="58" t="n">
        <v>206</v>
      </c>
      <c r="G14" s="58" t="n">
        <v>2</v>
      </c>
      <c r="H14" s="58" t="n">
        <v>2</v>
      </c>
      <c r="I14" s="59" t="n">
        <v>2</v>
      </c>
    </row>
    <row r="15" customFormat="false" ht="12.8" hidden="false" customHeight="false" outlineLevel="0" collapsed="false">
      <c r="A15" s="60"/>
      <c r="B15" s="61" t="s">
        <v>64</v>
      </c>
      <c r="C15" s="62" t="n">
        <v>5</v>
      </c>
      <c r="D15" s="63" t="n">
        <v>115</v>
      </c>
      <c r="E15" s="63" t="n">
        <v>115</v>
      </c>
      <c r="F15" s="63" t="n">
        <v>115</v>
      </c>
      <c r="G15" s="63" t="n">
        <v>3</v>
      </c>
      <c r="H15" s="63" t="n">
        <v>3</v>
      </c>
      <c r="I15" s="64" t="n">
        <v>3</v>
      </c>
    </row>
    <row r="16" customFormat="false" ht="12.8" hidden="false" customHeight="false" outlineLevel="0" collapsed="false">
      <c r="A16" s="65"/>
      <c r="B16" s="66" t="s">
        <v>67</v>
      </c>
      <c r="C16" s="67" t="n">
        <v>1</v>
      </c>
      <c r="D16" s="68" t="n">
        <v>1343</v>
      </c>
      <c r="E16" s="68" t="n">
        <v>1343</v>
      </c>
      <c r="F16" s="68" t="n">
        <v>1343</v>
      </c>
      <c r="G16" s="68" t="n">
        <v>15</v>
      </c>
      <c r="H16" s="68" t="n">
        <v>15</v>
      </c>
      <c r="I16" s="69" t="n">
        <v>15</v>
      </c>
    </row>
    <row r="17" customFormat="false" ht="12.8" hidden="false" customHeight="false" outlineLevel="0" collapsed="false">
      <c r="A17" s="70" t="s">
        <v>182</v>
      </c>
      <c r="B17" s="71"/>
      <c r="C17" s="72" t="n">
        <v>126</v>
      </c>
      <c r="D17" s="73" t="n">
        <v>34</v>
      </c>
      <c r="E17" s="73" t="n">
        <v>34</v>
      </c>
      <c r="F17" s="73" t="n">
        <v>34</v>
      </c>
      <c r="G17" s="73" t="n">
        <v>1</v>
      </c>
      <c r="H17" s="73" t="n">
        <v>1</v>
      </c>
      <c r="I17" s="74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O31" activeCellId="0" sqref="O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2.15"/>
    <col collapsed="false" customWidth="true" hidden="false" outlineLevel="0" max="2" min="2" style="2" width="11.12"/>
    <col collapsed="false" customWidth="true" hidden="false" outlineLevel="0" max="3" min="3" style="2" width="16.57"/>
    <col collapsed="false" customWidth="true" hidden="false" outlineLevel="0" max="4" min="4" style="2" width="12.52"/>
    <col collapsed="false" customWidth="true" hidden="false" outlineLevel="0" max="5" min="5" style="2" width="16.57"/>
    <col collapsed="false" customWidth="true" hidden="false" outlineLevel="0" max="6" min="6" style="2" width="13.15"/>
    <col collapsed="false" customWidth="true" hidden="false" outlineLevel="0" max="7" min="7" style="2" width="18.34"/>
    <col collapsed="false" customWidth="true" hidden="false" outlineLevel="0" max="8" min="8" style="2" width="22.39"/>
    <col collapsed="false" customWidth="true" hidden="false" outlineLevel="0" max="9" min="9" style="2" width="18.97"/>
  </cols>
  <sheetData>
    <row r="1" customFormat="false" ht="12.8" hidden="false" customHeight="false" outlineLevel="0" collapsed="false">
      <c r="A1" s="43" t="s">
        <v>176</v>
      </c>
      <c r="B1" s="44" t="s">
        <v>177</v>
      </c>
      <c r="C1" s="0"/>
      <c r="D1" s="0"/>
      <c r="E1" s="0"/>
      <c r="F1" s="0"/>
      <c r="G1" s="0"/>
      <c r="H1" s="0"/>
      <c r="I1" s="0"/>
    </row>
    <row r="2" customFormat="false" ht="12.8" hidden="false" customHeight="false" outlineLevel="0" collapsed="false">
      <c r="A2" s="0"/>
      <c r="B2" s="0"/>
      <c r="C2" s="0"/>
      <c r="D2" s="0"/>
      <c r="E2" s="0"/>
      <c r="F2" s="0"/>
      <c r="G2" s="0"/>
      <c r="H2" s="0"/>
      <c r="I2" s="0"/>
    </row>
    <row r="3" customFormat="false" ht="12.8" hidden="false" customHeight="false" outlineLevel="0" collapsed="false">
      <c r="A3" s="45"/>
      <c r="B3" s="46"/>
      <c r="C3" s="47" t="s">
        <v>178</v>
      </c>
      <c r="D3" s="48"/>
      <c r="E3" s="48"/>
      <c r="F3" s="48"/>
      <c r="G3" s="48"/>
      <c r="H3" s="48"/>
      <c r="I3" s="49"/>
    </row>
    <row r="4" customFormat="false" ht="12.8" hidden="false" customHeight="false" outlineLevel="0" collapsed="false">
      <c r="A4" s="50" t="s">
        <v>5</v>
      </c>
      <c r="B4" s="51" t="s">
        <v>6</v>
      </c>
      <c r="C4" s="52" t="s">
        <v>179</v>
      </c>
      <c r="D4" s="53" t="s">
        <v>185</v>
      </c>
      <c r="E4" s="53" t="s">
        <v>185</v>
      </c>
      <c r="F4" s="53" t="s">
        <v>185</v>
      </c>
      <c r="G4" s="53" t="s">
        <v>186</v>
      </c>
      <c r="H4" s="53" t="s">
        <v>186</v>
      </c>
      <c r="I4" s="54" t="s">
        <v>186</v>
      </c>
    </row>
    <row r="5" customFormat="false" ht="12.8" hidden="false" customHeight="false" outlineLevel="0" collapsed="false">
      <c r="A5" s="55" t="n">
        <v>5</v>
      </c>
      <c r="B5" s="56" t="s">
        <v>49</v>
      </c>
      <c r="C5" s="57" t="n">
        <v>24</v>
      </c>
      <c r="D5" s="58" t="n">
        <v>0.098903</v>
      </c>
      <c r="E5" s="58" t="n">
        <v>0.098903</v>
      </c>
      <c r="F5" s="58" t="n">
        <v>0.098903</v>
      </c>
      <c r="G5" s="58" t="n">
        <v>0.025648</v>
      </c>
      <c r="H5" s="58" t="n">
        <v>0.025648</v>
      </c>
      <c r="I5" s="59" t="n">
        <v>0.025648</v>
      </c>
    </row>
    <row r="6" customFormat="false" ht="12.8" hidden="false" customHeight="false" outlineLevel="0" collapsed="false">
      <c r="A6" s="60"/>
      <c r="B6" s="61" t="s">
        <v>64</v>
      </c>
      <c r="C6" s="62" t="n">
        <v>5</v>
      </c>
      <c r="D6" s="63" t="n">
        <v>0.307826</v>
      </c>
      <c r="E6" s="63" t="n">
        <v>0.307826</v>
      </c>
      <c r="F6" s="63" t="n">
        <v>0.307826</v>
      </c>
      <c r="G6" s="63" t="n">
        <v>0.12493</v>
      </c>
      <c r="H6" s="63" t="n">
        <v>0.12493</v>
      </c>
      <c r="I6" s="64" t="n">
        <v>0.12493</v>
      </c>
    </row>
    <row r="7" customFormat="false" ht="12.8" hidden="false" customHeight="false" outlineLevel="0" collapsed="false">
      <c r="A7" s="65"/>
      <c r="B7" s="66" t="s">
        <v>67</v>
      </c>
      <c r="C7" s="67" t="n">
        <v>12</v>
      </c>
      <c r="D7" s="68" t="n">
        <v>7.03107</v>
      </c>
      <c r="E7" s="68" t="n">
        <v>7.03107</v>
      </c>
      <c r="F7" s="68" t="n">
        <v>7.03107</v>
      </c>
      <c r="G7" s="68" t="n">
        <v>3.39866</v>
      </c>
      <c r="H7" s="68" t="n">
        <v>3.39866</v>
      </c>
      <c r="I7" s="69" t="n">
        <v>3.39866</v>
      </c>
    </row>
    <row r="8" customFormat="false" ht="12.8" hidden="false" customHeight="false" outlineLevel="0" collapsed="false">
      <c r="A8" s="55" t="n">
        <v>10</v>
      </c>
      <c r="B8" s="56" t="s">
        <v>49</v>
      </c>
      <c r="C8" s="57" t="n">
        <v>21</v>
      </c>
      <c r="D8" s="58" t="n">
        <v>0.200627</v>
      </c>
      <c r="E8" s="58" t="n">
        <v>0.200627</v>
      </c>
      <c r="F8" s="58" t="n">
        <v>0.200627</v>
      </c>
      <c r="G8" s="58" t="n">
        <v>0.008184</v>
      </c>
      <c r="H8" s="58" t="n">
        <v>0.008184</v>
      </c>
      <c r="I8" s="59" t="n">
        <v>0.008184</v>
      </c>
    </row>
    <row r="9" customFormat="false" ht="12.8" hidden="false" customHeight="false" outlineLevel="0" collapsed="false">
      <c r="A9" s="60"/>
      <c r="B9" s="61" t="s">
        <v>64</v>
      </c>
      <c r="C9" s="62" t="n">
        <v>5</v>
      </c>
      <c r="D9" s="63" t="n">
        <v>0.189824</v>
      </c>
      <c r="E9" s="63" t="n">
        <v>0.189824</v>
      </c>
      <c r="F9" s="63" t="n">
        <v>0.189824</v>
      </c>
      <c r="G9" s="63" t="n">
        <v>0.084575</v>
      </c>
      <c r="H9" s="63" t="n">
        <v>0.084575</v>
      </c>
      <c r="I9" s="64" t="n">
        <v>0.084575</v>
      </c>
    </row>
    <row r="10" customFormat="false" ht="12.8" hidden="false" customHeight="false" outlineLevel="0" collapsed="false">
      <c r="A10" s="65"/>
      <c r="B10" s="66" t="s">
        <v>67</v>
      </c>
      <c r="C10" s="67" t="n">
        <v>7</v>
      </c>
      <c r="D10" s="68" t="n">
        <v>11.2781</v>
      </c>
      <c r="E10" s="68" t="n">
        <v>11.2781</v>
      </c>
      <c r="F10" s="68" t="n">
        <v>11.2781</v>
      </c>
      <c r="G10" s="68" t="n">
        <v>6.94416</v>
      </c>
      <c r="H10" s="68" t="n">
        <v>6.94416</v>
      </c>
      <c r="I10" s="69" t="n">
        <v>6.94416</v>
      </c>
    </row>
    <row r="11" customFormat="false" ht="12.8" hidden="false" customHeight="false" outlineLevel="0" collapsed="false">
      <c r="A11" s="55" t="n">
        <v>15</v>
      </c>
      <c r="B11" s="56" t="s">
        <v>49</v>
      </c>
      <c r="C11" s="57" t="n">
        <v>18</v>
      </c>
      <c r="D11" s="58" t="n">
        <v>0.238681</v>
      </c>
      <c r="E11" s="58" t="n">
        <v>0.238681</v>
      </c>
      <c r="F11" s="58" t="n">
        <v>0.238681</v>
      </c>
      <c r="G11" s="58" t="n">
        <v>0.115936</v>
      </c>
      <c r="H11" s="58" t="n">
        <v>0.115936</v>
      </c>
      <c r="I11" s="59" t="n">
        <v>0.115936</v>
      </c>
    </row>
    <row r="12" customFormat="false" ht="12.8" hidden="false" customHeight="false" outlineLevel="0" collapsed="false">
      <c r="A12" s="60"/>
      <c r="B12" s="61" t="s">
        <v>64</v>
      </c>
      <c r="C12" s="62" t="n">
        <v>7</v>
      </c>
      <c r="D12" s="63" t="n">
        <v>0.08175</v>
      </c>
      <c r="E12" s="63" t="n">
        <v>0.08175</v>
      </c>
      <c r="F12" s="63" t="n">
        <v>0.08175</v>
      </c>
      <c r="G12" s="63" t="n">
        <v>0.046682</v>
      </c>
      <c r="H12" s="63" t="n">
        <v>0.046682</v>
      </c>
      <c r="I12" s="64" t="n">
        <v>0.046682</v>
      </c>
    </row>
    <row r="13" customFormat="false" ht="12.8" hidden="false" customHeight="false" outlineLevel="0" collapsed="false">
      <c r="A13" s="65"/>
      <c r="B13" s="66" t="s">
        <v>67</v>
      </c>
      <c r="C13" s="67" t="n">
        <v>4</v>
      </c>
      <c r="D13" s="68" t="n">
        <v>23.3447</v>
      </c>
      <c r="E13" s="68" t="n">
        <v>23.3447</v>
      </c>
      <c r="F13" s="68" t="n">
        <v>23.3447</v>
      </c>
      <c r="G13" s="68" t="n">
        <v>18.1156</v>
      </c>
      <c r="H13" s="68" t="n">
        <v>18.1156</v>
      </c>
      <c r="I13" s="69" t="n">
        <v>18.1156</v>
      </c>
    </row>
    <row r="14" customFormat="false" ht="12.8" hidden="false" customHeight="false" outlineLevel="0" collapsed="false">
      <c r="A14" s="55" t="n">
        <v>20</v>
      </c>
      <c r="B14" s="56" t="s">
        <v>49</v>
      </c>
      <c r="C14" s="57" t="n">
        <v>17</v>
      </c>
      <c r="D14" s="58" t="n">
        <v>0.623766</v>
      </c>
      <c r="E14" s="58" t="n">
        <v>0.623766</v>
      </c>
      <c r="F14" s="58" t="n">
        <v>0.623766</v>
      </c>
      <c r="G14" s="58" t="n">
        <v>0.262091</v>
      </c>
      <c r="H14" s="58" t="n">
        <v>0.262091</v>
      </c>
      <c r="I14" s="59" t="n">
        <v>0.262091</v>
      </c>
    </row>
    <row r="15" customFormat="false" ht="12.8" hidden="false" customHeight="false" outlineLevel="0" collapsed="false">
      <c r="A15" s="60"/>
      <c r="B15" s="61" t="s">
        <v>64</v>
      </c>
      <c r="C15" s="62" t="n">
        <v>5</v>
      </c>
      <c r="D15" s="63" t="n">
        <v>0.084924</v>
      </c>
      <c r="E15" s="63" t="n">
        <v>0.084924</v>
      </c>
      <c r="F15" s="63" t="n">
        <v>0.084924</v>
      </c>
      <c r="G15" s="63" t="n">
        <v>0.02901</v>
      </c>
      <c r="H15" s="63" t="n">
        <v>0.02901</v>
      </c>
      <c r="I15" s="64" t="n">
        <v>0.02901</v>
      </c>
    </row>
    <row r="16" customFormat="false" ht="12.8" hidden="false" customHeight="false" outlineLevel="0" collapsed="false">
      <c r="A16" s="65"/>
      <c r="B16" s="66" t="s">
        <v>67</v>
      </c>
      <c r="C16" s="67" t="n">
        <v>1</v>
      </c>
      <c r="D16" s="68" t="n">
        <v>84.4181</v>
      </c>
      <c r="E16" s="68" t="n">
        <v>84.4181</v>
      </c>
      <c r="F16" s="68" t="n">
        <v>84.4181</v>
      </c>
      <c r="G16" s="68" t="n">
        <v>67.3741</v>
      </c>
      <c r="H16" s="68" t="n">
        <v>67.3741</v>
      </c>
      <c r="I16" s="69" t="n">
        <v>67.3741</v>
      </c>
    </row>
    <row r="17" customFormat="false" ht="12.8" hidden="false" customHeight="false" outlineLevel="0" collapsed="false">
      <c r="A17" s="70" t="s">
        <v>182</v>
      </c>
      <c r="B17" s="71"/>
      <c r="C17" s="72" t="n">
        <v>126</v>
      </c>
      <c r="D17" s="73" t="n">
        <v>0.08175</v>
      </c>
      <c r="E17" s="73" t="n">
        <v>0.08175</v>
      </c>
      <c r="F17" s="73" t="n">
        <v>0.08175</v>
      </c>
      <c r="G17" s="73" t="n">
        <v>0.008184</v>
      </c>
      <c r="H17" s="73" t="n">
        <v>0.008184</v>
      </c>
      <c r="I17" s="74" t="n">
        <v>0.008184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324" activeCellId="0" sqref="D32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3" t="s">
        <v>13</v>
      </c>
      <c r="B1" s="23" t="s">
        <v>15</v>
      </c>
      <c r="C1" s="23" t="s">
        <v>17</v>
      </c>
      <c r="D1" s="23" t="s">
        <v>187</v>
      </c>
    </row>
    <row r="2" customFormat="false" ht="12.8" hidden="false" customHeight="false" outlineLevel="0" collapsed="false">
      <c r="A2" s="75" t="n">
        <v>0.38</v>
      </c>
      <c r="B2" s="75" t="n">
        <v>0.66</v>
      </c>
      <c r="C2" s="75" t="n">
        <v>0.15</v>
      </c>
      <c r="D2" s="76" t="n">
        <v>8.00979</v>
      </c>
    </row>
    <row r="3" customFormat="false" ht="12.8" hidden="false" customHeight="false" outlineLevel="0" collapsed="false">
      <c r="A3" s="75" t="n">
        <v>48.53</v>
      </c>
      <c r="B3" s="75" t="n">
        <v>3600</v>
      </c>
      <c r="C3" s="75" t="n">
        <v>13.51</v>
      </c>
      <c r="D3" s="76" t="n">
        <v>1800.02</v>
      </c>
    </row>
    <row r="4" customFormat="false" ht="12.8" hidden="false" customHeight="false" outlineLevel="0" collapsed="false">
      <c r="A4" s="75" t="n">
        <v>16.74</v>
      </c>
      <c r="B4" s="75" t="n">
        <v>174.89</v>
      </c>
      <c r="C4" s="75" t="n">
        <v>2.96</v>
      </c>
      <c r="D4" s="76" t="n">
        <v>14.7846</v>
      </c>
    </row>
    <row r="5" customFormat="false" ht="12.8" hidden="false" customHeight="false" outlineLevel="0" collapsed="false">
      <c r="A5" s="75" t="n">
        <v>5.7</v>
      </c>
      <c r="B5" s="75" t="n">
        <v>51.79</v>
      </c>
      <c r="C5" s="75" t="n">
        <v>8.95</v>
      </c>
      <c r="D5" s="76" t="n">
        <v>549.479</v>
      </c>
    </row>
    <row r="6" customFormat="false" ht="12.8" hidden="false" customHeight="false" outlineLevel="0" collapsed="false">
      <c r="A6" s="75" t="n">
        <v>0.93</v>
      </c>
      <c r="B6" s="75" t="n">
        <v>1.9</v>
      </c>
      <c r="C6" s="75" t="n">
        <v>0.45</v>
      </c>
      <c r="D6" s="76" t="n">
        <v>1.90617</v>
      </c>
    </row>
    <row r="7" customFormat="false" ht="12.8" hidden="false" customHeight="false" outlineLevel="0" collapsed="false">
      <c r="A7" s="75" t="n">
        <v>247.02</v>
      </c>
      <c r="B7" s="75" t="n">
        <v>3600</v>
      </c>
      <c r="C7" s="75" t="n">
        <v>198.26</v>
      </c>
      <c r="D7" s="76" t="n">
        <v>1800.19</v>
      </c>
    </row>
    <row r="8" customFormat="false" ht="12.8" hidden="false" customHeight="false" outlineLevel="0" collapsed="false">
      <c r="A8" s="75" t="n">
        <v>25.32</v>
      </c>
      <c r="B8" s="75" t="n">
        <v>3600</v>
      </c>
      <c r="C8" s="75" t="n">
        <v>43.78</v>
      </c>
      <c r="D8" s="76" t="n">
        <v>1800.04</v>
      </c>
    </row>
    <row r="9" customFormat="false" ht="12.8" hidden="false" customHeight="false" outlineLevel="0" collapsed="false">
      <c r="A9" s="75" t="n">
        <v>8.91</v>
      </c>
      <c r="B9" s="75" t="n">
        <v>13.35</v>
      </c>
      <c r="C9" s="75" t="n">
        <v>0.83</v>
      </c>
      <c r="D9" s="76" t="n">
        <v>7.26314</v>
      </c>
    </row>
    <row r="10" customFormat="false" ht="12.8" hidden="false" customHeight="false" outlineLevel="0" collapsed="false">
      <c r="A10" s="75" t="n">
        <v>60.07</v>
      </c>
      <c r="B10" s="75" t="n">
        <v>3600</v>
      </c>
      <c r="C10" s="75" t="n">
        <v>2520.5</v>
      </c>
      <c r="D10" s="76" t="n">
        <v>1800.03</v>
      </c>
    </row>
    <row r="11" customFormat="false" ht="12.8" hidden="false" customHeight="false" outlineLevel="0" collapsed="false">
      <c r="A11" s="75" t="n">
        <v>36.61</v>
      </c>
      <c r="B11" s="75" t="n">
        <v>29.07</v>
      </c>
      <c r="C11" s="75" t="n">
        <v>2.2</v>
      </c>
      <c r="D11" s="76" t="n">
        <v>62.0206</v>
      </c>
    </row>
    <row r="12" customFormat="false" ht="12.8" hidden="false" customHeight="false" outlineLevel="0" collapsed="false">
      <c r="A12" s="75" t="n">
        <v>311.26</v>
      </c>
      <c r="B12" s="75" t="n">
        <v>3600</v>
      </c>
      <c r="C12" s="75" t="n">
        <v>2968</v>
      </c>
      <c r="D12" s="76" t="n">
        <v>1800.02</v>
      </c>
    </row>
    <row r="13" customFormat="false" ht="12.8" hidden="false" customHeight="false" outlineLevel="0" collapsed="false">
      <c r="A13" s="75" t="n">
        <v>1.35</v>
      </c>
      <c r="B13" s="75" t="n">
        <v>2200.58</v>
      </c>
      <c r="C13" s="75" t="n">
        <v>0.01</v>
      </c>
      <c r="D13" s="76" t="n">
        <v>1.99839</v>
      </c>
    </row>
    <row r="14" customFormat="false" ht="12.8" hidden="false" customHeight="false" outlineLevel="0" collapsed="false">
      <c r="A14" s="75" t="n">
        <v>0.31</v>
      </c>
      <c r="B14" s="75" t="n">
        <v>42.6</v>
      </c>
      <c r="C14" s="75" t="n">
        <v>0</v>
      </c>
      <c r="D14" s="76" t="n">
        <v>1800</v>
      </c>
    </row>
    <row r="15" customFormat="false" ht="12.8" hidden="false" customHeight="false" outlineLevel="0" collapsed="false">
      <c r="A15" s="77" t="n">
        <v>0.1</v>
      </c>
      <c r="B15" s="77" t="n">
        <v>3600</v>
      </c>
      <c r="C15" s="77" t="n">
        <v>40.89</v>
      </c>
      <c r="D15" s="76" t="n">
        <v>1800.01</v>
      </c>
    </row>
    <row r="16" customFormat="false" ht="12.8" hidden="false" customHeight="false" outlineLevel="0" collapsed="false">
      <c r="A16" s="77" t="n">
        <v>57.19</v>
      </c>
      <c r="B16" s="77" t="n">
        <v>26.01</v>
      </c>
      <c r="C16" s="77" t="n">
        <v>132.71</v>
      </c>
      <c r="D16" s="76" t="n">
        <v>245.444</v>
      </c>
    </row>
    <row r="17" customFormat="false" ht="12.8" hidden="false" customHeight="false" outlineLevel="0" collapsed="false">
      <c r="A17" s="77" t="n">
        <v>190.01</v>
      </c>
      <c r="B17" s="77" t="n">
        <v>24.67</v>
      </c>
      <c r="C17" s="77" t="n">
        <v>1923.06</v>
      </c>
      <c r="D17" s="76" t="n">
        <v>1800.02</v>
      </c>
    </row>
    <row r="18" customFormat="false" ht="12.8" hidden="false" customHeight="false" outlineLevel="0" collapsed="false">
      <c r="A18" s="77" t="n">
        <v>219.87</v>
      </c>
      <c r="B18" s="77" t="n">
        <v>3600</v>
      </c>
      <c r="C18" s="77" t="n">
        <v>3600</v>
      </c>
      <c r="D18" s="76" t="n">
        <v>1800.33</v>
      </c>
    </row>
    <row r="19" customFormat="false" ht="12.8" hidden="false" customHeight="false" outlineLevel="0" collapsed="false">
      <c r="A19" s="77" t="n">
        <v>1.04</v>
      </c>
      <c r="B19" s="77" t="n">
        <v>1.89</v>
      </c>
      <c r="C19" s="77" t="n">
        <v>0.37</v>
      </c>
      <c r="D19" s="76" t="n">
        <v>10.6657</v>
      </c>
    </row>
    <row r="20" customFormat="false" ht="12.8" hidden="false" customHeight="false" outlineLevel="0" collapsed="false">
      <c r="A20" s="77" t="n">
        <v>4.55</v>
      </c>
      <c r="B20" s="77" t="n">
        <v>9.39</v>
      </c>
      <c r="C20" s="77" t="n">
        <v>1.54</v>
      </c>
      <c r="D20" s="76" t="n">
        <v>7.03107</v>
      </c>
    </row>
    <row r="21" customFormat="false" ht="12.8" hidden="false" customHeight="false" outlineLevel="0" collapsed="false">
      <c r="A21" s="77" t="n">
        <v>175.02</v>
      </c>
      <c r="B21" s="77" t="n">
        <v>230.01</v>
      </c>
      <c r="C21" s="77" t="n">
        <v>3600</v>
      </c>
      <c r="D21" s="76" t="n">
        <v>1800.09</v>
      </c>
    </row>
    <row r="22" customFormat="false" ht="12.8" hidden="false" customHeight="false" outlineLevel="0" collapsed="false">
      <c r="A22" s="77" t="n">
        <v>2.33</v>
      </c>
      <c r="B22" s="77" t="n">
        <v>180.84</v>
      </c>
      <c r="C22" s="77" t="n">
        <v>3600</v>
      </c>
      <c r="D22" s="76" t="n">
        <v>1800.26</v>
      </c>
    </row>
    <row r="23" customFormat="false" ht="12.8" hidden="false" customHeight="false" outlineLevel="0" collapsed="false">
      <c r="A23" s="77" t="n">
        <v>3600</v>
      </c>
      <c r="B23" s="77" t="n">
        <v>3600</v>
      </c>
      <c r="C23" s="77" t="n">
        <v>3600</v>
      </c>
      <c r="D23" s="76" t="n">
        <v>1800</v>
      </c>
    </row>
    <row r="24" customFormat="false" ht="12.8" hidden="false" customHeight="false" outlineLevel="0" collapsed="false">
      <c r="A24" s="77" t="n">
        <v>0.97</v>
      </c>
      <c r="B24" s="77" t="n">
        <v>4.68</v>
      </c>
      <c r="C24" s="77" t="n">
        <v>2.11</v>
      </c>
      <c r="D24" s="76" t="n">
        <v>1800.01</v>
      </c>
    </row>
    <row r="25" customFormat="false" ht="12.8" hidden="false" customHeight="false" outlineLevel="0" collapsed="false">
      <c r="A25" s="77" t="n">
        <v>11.61</v>
      </c>
      <c r="B25" s="77" t="n">
        <v>17.87</v>
      </c>
      <c r="C25" s="77" t="n">
        <v>13.49</v>
      </c>
      <c r="D25" s="76" t="n">
        <v>47.5491</v>
      </c>
    </row>
    <row r="26" customFormat="false" ht="12.8" hidden="false" customHeight="false" outlineLevel="0" collapsed="false">
      <c r="A26" s="77" t="n">
        <v>160.08</v>
      </c>
      <c r="B26" s="77" t="n">
        <v>3600</v>
      </c>
      <c r="C26" s="77" t="n">
        <v>3600</v>
      </c>
      <c r="D26" s="76" t="n">
        <v>1800.08</v>
      </c>
    </row>
    <row r="27" customFormat="false" ht="12.8" hidden="false" customHeight="false" outlineLevel="0" collapsed="false">
      <c r="A27" s="77" t="n">
        <v>3600</v>
      </c>
      <c r="B27" s="77" t="n">
        <v>3600</v>
      </c>
      <c r="C27" s="77" t="n">
        <v>3600</v>
      </c>
      <c r="D27" s="76" t="n">
        <v>1800</v>
      </c>
    </row>
    <row r="28" customFormat="false" ht="12.8" hidden="false" customHeight="false" outlineLevel="0" collapsed="false">
      <c r="A28" s="75" t="n">
        <v>3.96</v>
      </c>
      <c r="B28" s="75" t="n">
        <v>3600</v>
      </c>
      <c r="C28" s="75" t="n">
        <v>0.02</v>
      </c>
      <c r="D28" s="76" t="n">
        <v>1800.24</v>
      </c>
    </row>
    <row r="29" customFormat="false" ht="12.8" hidden="false" customHeight="false" outlineLevel="0" collapsed="false">
      <c r="A29" s="75" t="n">
        <v>0.39</v>
      </c>
      <c r="B29" s="75" t="n">
        <v>0.62</v>
      </c>
      <c r="C29" s="75" t="n">
        <v>0.17</v>
      </c>
      <c r="D29" s="76" t="n">
        <v>1.75064</v>
      </c>
    </row>
    <row r="30" customFormat="false" ht="12.8" hidden="false" customHeight="false" outlineLevel="0" collapsed="false">
      <c r="A30" s="77" t="n">
        <v>9.67</v>
      </c>
      <c r="B30" s="77" t="n">
        <v>39.62</v>
      </c>
      <c r="C30" s="77" t="n">
        <v>1812.3</v>
      </c>
      <c r="D30" s="76" t="n">
        <v>1800.15</v>
      </c>
    </row>
    <row r="31" customFormat="false" ht="12.8" hidden="false" customHeight="false" outlineLevel="0" collapsed="false">
      <c r="A31" s="77" t="n">
        <v>0.01</v>
      </c>
      <c r="B31" s="77" t="n">
        <v>0.01</v>
      </c>
      <c r="C31" s="77" t="n">
        <v>0.01</v>
      </c>
      <c r="D31" s="77" t="n">
        <v>0.01</v>
      </c>
    </row>
    <row r="32" customFormat="false" ht="12.8" hidden="false" customHeight="false" outlineLevel="0" collapsed="false">
      <c r="A32" s="75" t="n">
        <v>0.15</v>
      </c>
      <c r="B32" s="75" t="n">
        <v>5.03</v>
      </c>
      <c r="C32" s="75" t="n">
        <v>0</v>
      </c>
      <c r="D32" s="76" t="n">
        <v>0.555887</v>
      </c>
    </row>
    <row r="33" customFormat="false" ht="12.8" hidden="false" customHeight="false" outlineLevel="0" collapsed="false">
      <c r="A33" s="75" t="n">
        <v>3600</v>
      </c>
      <c r="B33" s="75" t="n">
        <v>3600</v>
      </c>
      <c r="C33" s="75" t="n">
        <v>3600</v>
      </c>
      <c r="D33" s="76" t="n">
        <v>1800.15</v>
      </c>
    </row>
    <row r="34" customFormat="false" ht="12.8" hidden="false" customHeight="false" outlineLevel="0" collapsed="false">
      <c r="A34" s="75" t="n">
        <v>3600</v>
      </c>
      <c r="B34" s="75" t="n">
        <v>3600</v>
      </c>
      <c r="C34" s="75" t="n">
        <v>3600</v>
      </c>
      <c r="D34" s="76" t="n">
        <v>1800.06</v>
      </c>
    </row>
    <row r="35" customFormat="false" ht="12.8" hidden="false" customHeight="false" outlineLevel="0" collapsed="false">
      <c r="A35" s="77" t="n">
        <v>17.02</v>
      </c>
      <c r="B35" s="77" t="n">
        <v>20.11</v>
      </c>
      <c r="C35" s="77" t="n">
        <v>20.88</v>
      </c>
      <c r="D35" s="76" t="n">
        <v>1800.14</v>
      </c>
    </row>
    <row r="36" customFormat="false" ht="12.8" hidden="false" customHeight="false" outlineLevel="0" collapsed="false">
      <c r="A36" s="77" t="n">
        <v>566.29</v>
      </c>
      <c r="B36" s="77" t="n">
        <v>3600</v>
      </c>
      <c r="C36" s="77" t="n">
        <v>3600</v>
      </c>
      <c r="D36" s="76" t="n">
        <v>1800.24</v>
      </c>
    </row>
    <row r="37" customFormat="false" ht="12.8" hidden="false" customHeight="false" outlineLevel="0" collapsed="false">
      <c r="A37" s="77" t="n">
        <v>59.4</v>
      </c>
      <c r="B37" s="77" t="n">
        <v>23.85</v>
      </c>
      <c r="C37" s="77" t="n">
        <v>6.41</v>
      </c>
      <c r="D37" s="76" t="n">
        <v>58.5721</v>
      </c>
    </row>
    <row r="38" customFormat="false" ht="12.8" hidden="false" customHeight="false" outlineLevel="0" collapsed="false">
      <c r="A38" s="77" t="n">
        <v>44.31</v>
      </c>
      <c r="B38" s="77" t="n">
        <v>32.9</v>
      </c>
      <c r="C38" s="77" t="n">
        <v>20.34</v>
      </c>
      <c r="D38" s="76" t="n">
        <v>1800.13</v>
      </c>
    </row>
    <row r="39" customFormat="false" ht="12.8" hidden="false" customHeight="false" outlineLevel="0" collapsed="false">
      <c r="A39" s="75" t="n">
        <v>3600</v>
      </c>
      <c r="B39" s="75" t="n">
        <v>3600</v>
      </c>
      <c r="C39" s="75" t="n">
        <v>3600</v>
      </c>
      <c r="D39" s="76" t="n">
        <v>1800.08</v>
      </c>
    </row>
    <row r="40" customFormat="false" ht="12.8" hidden="false" customHeight="false" outlineLevel="0" collapsed="false">
      <c r="A40" s="75" t="n">
        <v>3600</v>
      </c>
      <c r="B40" s="75" t="n">
        <v>3600</v>
      </c>
      <c r="C40" s="75" t="n">
        <v>3600</v>
      </c>
      <c r="D40" s="76" t="n">
        <v>1800</v>
      </c>
    </row>
    <row r="41" customFormat="false" ht="12.8" hidden="false" customHeight="false" outlineLevel="0" collapsed="false">
      <c r="A41" s="77" t="n">
        <v>998.31</v>
      </c>
      <c r="B41" s="77" t="n">
        <v>2158.27</v>
      </c>
      <c r="C41" s="77" t="n">
        <v>3600</v>
      </c>
      <c r="D41" s="76" t="n">
        <v>1800.18</v>
      </c>
    </row>
    <row r="42" customFormat="false" ht="12.8" hidden="false" customHeight="false" outlineLevel="0" collapsed="false">
      <c r="A42" s="75" t="n">
        <v>0.06</v>
      </c>
      <c r="B42" s="75" t="n">
        <v>3.89</v>
      </c>
      <c r="C42" s="75" t="n">
        <v>0</v>
      </c>
      <c r="D42" s="76" t="n">
        <v>14.1494</v>
      </c>
    </row>
    <row r="43" customFormat="false" ht="12.8" hidden="false" customHeight="false" outlineLevel="0" collapsed="false">
      <c r="A43" s="77" t="n">
        <v>0.67</v>
      </c>
      <c r="B43" s="77" t="n">
        <v>1.85</v>
      </c>
      <c r="C43" s="77" t="n">
        <v>8.07</v>
      </c>
      <c r="D43" s="76" t="n">
        <v>42.0987</v>
      </c>
    </row>
    <row r="44" customFormat="false" ht="12.8" hidden="false" customHeight="false" outlineLevel="0" collapsed="false">
      <c r="A44" s="77" t="n">
        <v>0.35</v>
      </c>
      <c r="B44" s="77" t="n">
        <v>0.91</v>
      </c>
      <c r="C44" s="77" t="n">
        <v>0.17</v>
      </c>
      <c r="D44" s="76" t="n">
        <v>124.784</v>
      </c>
    </row>
    <row r="45" customFormat="false" ht="12.8" hidden="false" customHeight="false" outlineLevel="0" collapsed="false">
      <c r="A45" s="75" t="n">
        <v>32.79</v>
      </c>
      <c r="B45" s="75" t="n">
        <v>66.46</v>
      </c>
      <c r="C45" s="75" t="n">
        <v>0.66</v>
      </c>
      <c r="D45" s="76" t="n">
        <v>1800.14</v>
      </c>
    </row>
    <row r="46" customFormat="false" ht="12.8" hidden="false" customHeight="false" outlineLevel="0" collapsed="false">
      <c r="A46" s="75" t="n">
        <v>0.06</v>
      </c>
      <c r="B46" s="75" t="n">
        <v>2.64</v>
      </c>
      <c r="C46" s="75" t="n">
        <v>0</v>
      </c>
      <c r="D46" s="76" t="n">
        <v>1.87583</v>
      </c>
    </row>
    <row r="47" customFormat="false" ht="12.8" hidden="false" customHeight="false" outlineLevel="0" collapsed="false">
      <c r="A47" s="75" t="n">
        <v>0.03</v>
      </c>
      <c r="B47" s="75" t="n">
        <v>0.09</v>
      </c>
      <c r="C47" s="75" t="n">
        <v>0</v>
      </c>
      <c r="D47" s="76" t="n">
        <v>0.307826</v>
      </c>
    </row>
    <row r="48" customFormat="false" ht="12.8" hidden="false" customHeight="false" outlineLevel="0" collapsed="false">
      <c r="A48" s="77" t="n">
        <v>0.86</v>
      </c>
      <c r="B48" s="77" t="n">
        <v>3600</v>
      </c>
      <c r="C48" s="77" t="n">
        <v>0.4</v>
      </c>
      <c r="D48" s="76" t="n">
        <v>1800.01</v>
      </c>
    </row>
    <row r="49" customFormat="false" ht="12.8" hidden="false" customHeight="false" outlineLevel="0" collapsed="false">
      <c r="A49" s="77" t="n">
        <v>0.01</v>
      </c>
      <c r="B49" s="77" t="n">
        <v>0.01</v>
      </c>
      <c r="C49" s="77" t="n">
        <v>0.01</v>
      </c>
      <c r="D49" s="77" t="n">
        <v>0.01</v>
      </c>
    </row>
    <row r="50" customFormat="false" ht="12.8" hidden="false" customHeight="false" outlineLevel="0" collapsed="false">
      <c r="A50" s="77" t="n">
        <v>0.6</v>
      </c>
      <c r="B50" s="77" t="n">
        <v>15.62</v>
      </c>
      <c r="C50" s="77" t="n">
        <v>0.23</v>
      </c>
      <c r="D50" s="76" t="n">
        <v>1800.1</v>
      </c>
    </row>
    <row r="51" customFormat="false" ht="12.8" hidden="false" customHeight="false" outlineLevel="0" collapsed="false">
      <c r="A51" s="77" t="n">
        <v>0.03</v>
      </c>
      <c r="B51" s="77" t="n">
        <v>22.14</v>
      </c>
      <c r="C51" s="77" t="n">
        <v>0.14</v>
      </c>
      <c r="D51" s="76" t="n">
        <v>1800.04</v>
      </c>
    </row>
    <row r="52" customFormat="false" ht="12.8" hidden="false" customHeight="false" outlineLevel="0" collapsed="false">
      <c r="A52" s="77" t="n">
        <v>290.48</v>
      </c>
      <c r="B52" s="77" t="n">
        <v>3600</v>
      </c>
      <c r="C52" s="77" t="n">
        <v>3600</v>
      </c>
      <c r="D52" s="76" t="n">
        <v>1800</v>
      </c>
    </row>
    <row r="53" customFormat="false" ht="12.8" hidden="false" customHeight="false" outlineLevel="0" collapsed="false">
      <c r="A53" s="77" t="n">
        <v>3.74</v>
      </c>
      <c r="B53" s="77" t="n">
        <v>3600</v>
      </c>
      <c r="C53" s="77" t="n">
        <v>21.04</v>
      </c>
      <c r="D53" s="76" t="n">
        <v>1800</v>
      </c>
    </row>
    <row r="54" customFormat="false" ht="12.8" hidden="false" customHeight="false" outlineLevel="0" collapsed="false">
      <c r="A54" s="77" t="n">
        <v>0.1</v>
      </c>
      <c r="B54" s="77" t="n">
        <v>0.41</v>
      </c>
      <c r="C54" s="77" t="n">
        <v>0.14</v>
      </c>
      <c r="D54" s="76" t="n">
        <v>1800.18</v>
      </c>
    </row>
    <row r="55" customFormat="false" ht="12.8" hidden="false" customHeight="false" outlineLevel="0" collapsed="false">
      <c r="A55" s="77" t="n">
        <v>0.11</v>
      </c>
      <c r="B55" s="77" t="n">
        <v>0.39</v>
      </c>
      <c r="C55" s="77" t="n">
        <v>0.14</v>
      </c>
      <c r="D55" s="76" t="n">
        <v>1800</v>
      </c>
    </row>
    <row r="56" customFormat="false" ht="12.8" hidden="false" customHeight="false" outlineLevel="0" collapsed="false">
      <c r="A56" s="77" t="n">
        <v>1.03</v>
      </c>
      <c r="B56" s="77" t="n">
        <v>3600</v>
      </c>
      <c r="C56" s="77" t="n">
        <v>0.68</v>
      </c>
      <c r="D56" s="76" t="n">
        <v>1800</v>
      </c>
    </row>
    <row r="57" customFormat="false" ht="12.8" hidden="false" customHeight="false" outlineLevel="0" collapsed="false">
      <c r="A57" s="77" t="n">
        <v>0.05</v>
      </c>
      <c r="B57" s="77" t="n">
        <v>0.19</v>
      </c>
      <c r="C57" s="77" t="n">
        <v>7.8</v>
      </c>
      <c r="D57" s="76" t="n">
        <v>1800</v>
      </c>
    </row>
    <row r="58" customFormat="false" ht="12.8" hidden="false" customHeight="false" outlineLevel="0" collapsed="false">
      <c r="A58" s="77" t="n">
        <v>0.01</v>
      </c>
      <c r="B58" s="77" t="n">
        <v>0.01</v>
      </c>
      <c r="C58" s="77" t="n">
        <v>0.01</v>
      </c>
      <c r="D58" s="77" t="n">
        <v>0.01</v>
      </c>
    </row>
    <row r="59" customFormat="false" ht="12.8" hidden="false" customHeight="false" outlineLevel="0" collapsed="false">
      <c r="A59" s="77" t="n">
        <v>0.31</v>
      </c>
      <c r="B59" s="77" t="n">
        <v>3600</v>
      </c>
      <c r="C59" s="77" t="n">
        <v>64.38</v>
      </c>
      <c r="D59" s="76" t="n">
        <v>1800.14</v>
      </c>
    </row>
    <row r="60" customFormat="false" ht="12.8" hidden="false" customHeight="false" outlineLevel="0" collapsed="false">
      <c r="A60" s="77" t="n">
        <v>19.99</v>
      </c>
      <c r="B60" s="77" t="n">
        <v>335.74</v>
      </c>
      <c r="C60" s="77" t="n">
        <v>3600</v>
      </c>
      <c r="D60" s="76" t="n">
        <v>1800</v>
      </c>
    </row>
    <row r="61" customFormat="false" ht="12.8" hidden="false" customHeight="false" outlineLevel="0" collapsed="false">
      <c r="A61" s="77" t="n">
        <v>0.16</v>
      </c>
      <c r="B61" s="77" t="n">
        <v>1.07</v>
      </c>
      <c r="C61" s="77" t="n">
        <v>0.06</v>
      </c>
      <c r="D61" s="76" t="n">
        <v>1800</v>
      </c>
    </row>
    <row r="62" customFormat="false" ht="12.8" hidden="false" customHeight="false" outlineLevel="0" collapsed="false">
      <c r="A62" s="77" t="n">
        <v>843.17</v>
      </c>
      <c r="B62" s="77" t="n">
        <v>26.46</v>
      </c>
      <c r="C62" s="77" t="n">
        <v>3600</v>
      </c>
      <c r="D62" s="76" t="n">
        <v>1800.2</v>
      </c>
    </row>
    <row r="63" customFormat="false" ht="12.8" hidden="false" customHeight="false" outlineLevel="0" collapsed="false">
      <c r="A63" s="77" t="n">
        <v>159.35</v>
      </c>
      <c r="B63" s="77" t="n">
        <v>3600</v>
      </c>
      <c r="C63" s="77" t="n">
        <v>3600</v>
      </c>
      <c r="D63" s="76" t="n">
        <v>1800.17</v>
      </c>
    </row>
    <row r="64" customFormat="false" ht="12.8" hidden="false" customHeight="false" outlineLevel="0" collapsed="false">
      <c r="A64" s="77" t="n">
        <v>3600</v>
      </c>
      <c r="B64" s="77" t="n">
        <v>3600</v>
      </c>
      <c r="C64" s="77" t="n">
        <v>3600</v>
      </c>
      <c r="D64" s="76" t="n">
        <v>1800.04</v>
      </c>
    </row>
    <row r="65" customFormat="false" ht="12.8" hidden="false" customHeight="false" outlineLevel="0" collapsed="false">
      <c r="A65" s="77" t="n">
        <v>3600</v>
      </c>
      <c r="B65" s="77" t="n">
        <v>3600</v>
      </c>
      <c r="C65" s="77" t="n">
        <v>3600</v>
      </c>
      <c r="D65" s="76" t="n">
        <v>1800.14</v>
      </c>
    </row>
    <row r="66" customFormat="false" ht="12.8" hidden="false" customHeight="false" outlineLevel="0" collapsed="false">
      <c r="A66" s="77" t="n">
        <v>3600</v>
      </c>
      <c r="B66" s="77" t="n">
        <v>3600</v>
      </c>
      <c r="C66" s="77" t="n">
        <v>3600</v>
      </c>
      <c r="D66" s="76" t="n">
        <v>1800</v>
      </c>
    </row>
    <row r="67" customFormat="false" ht="12.8" hidden="false" customHeight="false" outlineLevel="0" collapsed="false">
      <c r="A67" s="77" t="n">
        <v>1271.68</v>
      </c>
      <c r="B67" s="77" t="n">
        <v>3600</v>
      </c>
      <c r="C67" s="77" t="n">
        <v>3600</v>
      </c>
      <c r="D67" s="76" t="n">
        <v>1800.2</v>
      </c>
    </row>
    <row r="68" customFormat="false" ht="12.8" hidden="false" customHeight="false" outlineLevel="0" collapsed="false">
      <c r="A68" s="77" t="n">
        <v>2.23</v>
      </c>
      <c r="B68" s="77" t="n">
        <v>3600</v>
      </c>
      <c r="C68" s="77" t="n">
        <v>2195.21</v>
      </c>
      <c r="D68" s="76" t="n">
        <v>1800.03</v>
      </c>
    </row>
    <row r="69" customFormat="false" ht="12.8" hidden="false" customHeight="false" outlineLevel="0" collapsed="false">
      <c r="A69" s="77" t="n">
        <v>3244.87</v>
      </c>
      <c r="B69" s="77" t="n">
        <v>3600</v>
      </c>
      <c r="C69" s="77" t="n">
        <v>3600</v>
      </c>
      <c r="D69" s="76" t="n">
        <v>1800</v>
      </c>
    </row>
    <row r="70" customFormat="false" ht="12.8" hidden="false" customHeight="false" outlineLevel="0" collapsed="false">
      <c r="A70" s="77" t="n">
        <v>3600</v>
      </c>
      <c r="B70" s="77" t="n">
        <v>3600</v>
      </c>
      <c r="C70" s="77" t="n">
        <v>3600</v>
      </c>
      <c r="D70" s="76" t="n">
        <v>1800.02</v>
      </c>
    </row>
    <row r="71" customFormat="false" ht="12.8" hidden="false" customHeight="false" outlineLevel="0" collapsed="false">
      <c r="A71" s="77" t="n">
        <v>38.97</v>
      </c>
      <c r="B71" s="77" t="n">
        <v>23.8</v>
      </c>
      <c r="C71" s="77" t="n">
        <v>2.74</v>
      </c>
      <c r="D71" s="76" t="n">
        <v>35.2578</v>
      </c>
    </row>
    <row r="72" customFormat="false" ht="12.8" hidden="false" customHeight="false" outlineLevel="0" collapsed="false">
      <c r="A72" s="77" t="n">
        <v>16.82</v>
      </c>
      <c r="B72" s="77" t="n">
        <v>21.25</v>
      </c>
      <c r="C72" s="77" t="n">
        <v>4.6</v>
      </c>
      <c r="D72" s="76" t="n">
        <v>27.8319</v>
      </c>
    </row>
    <row r="73" customFormat="false" ht="12.8" hidden="false" customHeight="false" outlineLevel="0" collapsed="false">
      <c r="A73" s="77" t="n">
        <v>0.53</v>
      </c>
      <c r="B73" s="77" t="n">
        <v>3600</v>
      </c>
      <c r="C73" s="77" t="n">
        <v>0.39</v>
      </c>
      <c r="D73" s="76" t="n">
        <v>1800</v>
      </c>
    </row>
    <row r="74" customFormat="false" ht="12.8" hidden="false" customHeight="false" outlineLevel="0" collapsed="false">
      <c r="A74" s="77" t="n">
        <v>0.01</v>
      </c>
      <c r="B74" s="77" t="n">
        <v>0.01</v>
      </c>
      <c r="C74" s="77" t="n">
        <v>0.01</v>
      </c>
      <c r="D74" s="77" t="n">
        <v>0.01</v>
      </c>
    </row>
    <row r="75" customFormat="false" ht="12.8" hidden="false" customHeight="false" outlineLevel="0" collapsed="false">
      <c r="A75" s="77" t="n">
        <v>29.73</v>
      </c>
      <c r="B75" s="77" t="n">
        <v>3600</v>
      </c>
      <c r="C75" s="77" t="n">
        <v>3600</v>
      </c>
      <c r="D75" s="76" t="n">
        <v>1800</v>
      </c>
    </row>
    <row r="76" customFormat="false" ht="12.8" hidden="false" customHeight="false" outlineLevel="0" collapsed="false">
      <c r="A76" s="77" t="n">
        <v>0.82</v>
      </c>
      <c r="B76" s="77" t="n">
        <v>3600</v>
      </c>
      <c r="C76" s="77" t="n">
        <v>5.71</v>
      </c>
      <c r="D76" s="76" t="n">
        <v>1800</v>
      </c>
    </row>
    <row r="77" customFormat="false" ht="12.8" hidden="false" customHeight="false" outlineLevel="0" collapsed="false">
      <c r="A77" s="77" t="n">
        <v>0.05</v>
      </c>
      <c r="B77" s="77" t="n">
        <v>0.27</v>
      </c>
      <c r="C77" s="77" t="n">
        <v>0.06</v>
      </c>
      <c r="D77" s="76" t="n">
        <v>1800.04</v>
      </c>
    </row>
    <row r="78" customFormat="false" ht="12.8" hidden="false" customHeight="false" outlineLevel="0" collapsed="false">
      <c r="A78" s="77" t="n">
        <v>0.04</v>
      </c>
      <c r="B78" s="77" t="n">
        <v>0.23</v>
      </c>
      <c r="C78" s="77" t="n">
        <v>0.08</v>
      </c>
      <c r="D78" s="76" t="n">
        <v>1800</v>
      </c>
    </row>
    <row r="79" customFormat="false" ht="12.8" hidden="false" customHeight="false" outlineLevel="0" collapsed="false">
      <c r="A79" s="75" t="n">
        <v>0.14</v>
      </c>
      <c r="B79" s="75" t="n">
        <v>2.41</v>
      </c>
      <c r="C79" s="75" t="n">
        <v>0</v>
      </c>
      <c r="D79" s="76" t="n">
        <v>0.84692</v>
      </c>
    </row>
    <row r="80" customFormat="false" ht="12.8" hidden="false" customHeight="false" outlineLevel="0" collapsed="false">
      <c r="A80" s="77" t="n">
        <v>3600</v>
      </c>
      <c r="B80" s="77" t="n">
        <v>3600</v>
      </c>
      <c r="C80" s="77" t="n">
        <v>3600</v>
      </c>
      <c r="D80" s="76" t="n">
        <v>1800</v>
      </c>
    </row>
    <row r="81" customFormat="false" ht="12.8" hidden="false" customHeight="false" outlineLevel="0" collapsed="false">
      <c r="A81" s="75" t="n">
        <v>1307.71</v>
      </c>
      <c r="B81" s="75" t="n">
        <v>3600</v>
      </c>
      <c r="C81" s="75" t="n">
        <v>3600</v>
      </c>
      <c r="D81" s="76" t="n">
        <v>1800.06</v>
      </c>
    </row>
    <row r="82" customFormat="false" ht="12.8" hidden="false" customHeight="false" outlineLevel="0" collapsed="false">
      <c r="A82" s="75" t="n">
        <v>0.12</v>
      </c>
      <c r="B82" s="75" t="n">
        <v>0.06</v>
      </c>
      <c r="C82" s="75" t="n">
        <v>0.01</v>
      </c>
      <c r="D82" s="76" t="n">
        <v>1800.09</v>
      </c>
    </row>
    <row r="83" customFormat="false" ht="12.8" hidden="false" customHeight="false" outlineLevel="0" collapsed="false">
      <c r="A83" s="77" t="n">
        <v>0.01</v>
      </c>
      <c r="B83" s="77" t="n">
        <v>0.01</v>
      </c>
      <c r="C83" s="77" t="n">
        <v>0.01</v>
      </c>
      <c r="D83" s="77" t="n">
        <v>0.01</v>
      </c>
    </row>
    <row r="84" customFormat="false" ht="12.8" hidden="false" customHeight="false" outlineLevel="0" collapsed="false">
      <c r="A84" s="75" t="n">
        <v>116</v>
      </c>
      <c r="B84" s="75" t="n">
        <v>31.14</v>
      </c>
      <c r="C84" s="75" t="n">
        <v>11.88</v>
      </c>
      <c r="D84" s="76" t="n">
        <v>1800</v>
      </c>
    </row>
    <row r="85" customFormat="false" ht="12.8" hidden="false" customHeight="false" outlineLevel="0" collapsed="false">
      <c r="A85" s="75" t="n">
        <v>359.62</v>
      </c>
      <c r="B85" s="75" t="n">
        <v>3600</v>
      </c>
      <c r="C85" s="75" t="n">
        <v>3600</v>
      </c>
      <c r="D85" s="76" t="n">
        <v>1800</v>
      </c>
    </row>
    <row r="86" customFormat="false" ht="12.8" hidden="false" customHeight="false" outlineLevel="0" collapsed="false">
      <c r="A86" s="75" t="n">
        <v>269.56</v>
      </c>
      <c r="B86" s="75" t="n">
        <v>22.89</v>
      </c>
      <c r="C86" s="75" t="n">
        <v>1.22</v>
      </c>
      <c r="D86" s="76" t="n">
        <v>6.35639</v>
      </c>
    </row>
    <row r="87" customFormat="false" ht="12.8" hidden="false" customHeight="false" outlineLevel="0" collapsed="false">
      <c r="A87" s="75" t="n">
        <v>397.28</v>
      </c>
      <c r="B87" s="75" t="n">
        <v>22.56</v>
      </c>
      <c r="C87" s="75" t="n">
        <v>1.17</v>
      </c>
      <c r="D87" s="76" t="n">
        <v>7.39144</v>
      </c>
    </row>
    <row r="88" customFormat="false" ht="12.8" hidden="false" customHeight="false" outlineLevel="0" collapsed="false">
      <c r="A88" s="75" t="n">
        <v>62.2</v>
      </c>
      <c r="B88" s="75" t="n">
        <v>22.23</v>
      </c>
      <c r="C88" s="75" t="n">
        <v>0.87</v>
      </c>
      <c r="D88" s="76" t="n">
        <v>1.72128</v>
      </c>
    </row>
    <row r="89" customFormat="false" ht="12.8" hidden="false" customHeight="false" outlineLevel="0" collapsed="false">
      <c r="A89" s="75" t="n">
        <v>16.36</v>
      </c>
      <c r="B89" s="75" t="n">
        <v>18.83</v>
      </c>
      <c r="C89" s="75" t="n">
        <v>0.14</v>
      </c>
      <c r="D89" s="76" t="n">
        <v>1.30678</v>
      </c>
    </row>
    <row r="90" customFormat="false" ht="12.8" hidden="false" customHeight="false" outlineLevel="0" collapsed="false">
      <c r="A90" s="77" t="n">
        <v>0.01</v>
      </c>
      <c r="B90" s="77" t="n">
        <v>0.01</v>
      </c>
      <c r="C90" s="77" t="n">
        <v>0.01</v>
      </c>
      <c r="D90" s="77" t="n">
        <v>0.01</v>
      </c>
    </row>
    <row r="91" customFormat="false" ht="12.8" hidden="false" customHeight="false" outlineLevel="0" collapsed="false">
      <c r="A91" s="77" t="n">
        <v>0.01</v>
      </c>
      <c r="B91" s="77" t="n">
        <v>0.01</v>
      </c>
      <c r="C91" s="77" t="n">
        <v>0.01</v>
      </c>
      <c r="D91" s="77" t="n">
        <v>0.01</v>
      </c>
    </row>
    <row r="92" customFormat="false" ht="12.8" hidden="false" customHeight="false" outlineLevel="0" collapsed="false">
      <c r="A92" s="77" t="n">
        <v>0.01</v>
      </c>
      <c r="B92" s="77" t="n">
        <v>0.01</v>
      </c>
      <c r="C92" s="77" t="n">
        <v>0.01</v>
      </c>
      <c r="D92" s="77" t="n">
        <v>0.01</v>
      </c>
    </row>
    <row r="93" customFormat="false" ht="12.8" hidden="false" customHeight="false" outlineLevel="0" collapsed="false">
      <c r="A93" s="77" t="n">
        <v>0.01</v>
      </c>
      <c r="B93" s="77" t="n">
        <v>0.01</v>
      </c>
      <c r="C93" s="77" t="n">
        <v>0.01</v>
      </c>
      <c r="D93" s="77" t="n">
        <v>0.01</v>
      </c>
    </row>
    <row r="94" customFormat="false" ht="12.8" hidden="false" customHeight="false" outlineLevel="0" collapsed="false">
      <c r="A94" s="77" t="n">
        <v>0.01</v>
      </c>
      <c r="B94" s="77" t="n">
        <v>0.01</v>
      </c>
      <c r="C94" s="77" t="n">
        <v>0.01</v>
      </c>
      <c r="D94" s="77" t="n">
        <v>0.01</v>
      </c>
    </row>
    <row r="95" customFormat="false" ht="12.8" hidden="false" customHeight="false" outlineLevel="0" collapsed="false">
      <c r="A95" s="75" t="n">
        <v>0.29</v>
      </c>
      <c r="B95" s="75" t="n">
        <v>1.58</v>
      </c>
      <c r="C95" s="75" t="n">
        <v>0.1</v>
      </c>
      <c r="D95" s="76" t="n">
        <v>0.47594</v>
      </c>
    </row>
    <row r="96" customFormat="false" ht="12.8" hidden="false" customHeight="false" outlineLevel="0" collapsed="false">
      <c r="A96" s="75" t="n">
        <v>3.8</v>
      </c>
      <c r="B96" s="75" t="n">
        <v>18.71</v>
      </c>
      <c r="C96" s="75" t="n">
        <v>0.6</v>
      </c>
      <c r="D96" s="76" t="n">
        <v>11.0699</v>
      </c>
    </row>
    <row r="97" customFormat="false" ht="12.8" hidden="false" customHeight="false" outlineLevel="0" collapsed="false">
      <c r="A97" s="75" t="n">
        <v>43.87</v>
      </c>
      <c r="B97" s="75" t="n">
        <v>3600</v>
      </c>
      <c r="C97" s="75" t="n">
        <v>6.26</v>
      </c>
      <c r="D97" s="76" t="n">
        <v>1800</v>
      </c>
    </row>
    <row r="98" customFormat="false" ht="12.8" hidden="false" customHeight="false" outlineLevel="0" collapsed="false">
      <c r="A98" s="75" t="n">
        <v>940.63</v>
      </c>
      <c r="B98" s="75" t="n">
        <v>3600</v>
      </c>
      <c r="C98" s="75" t="n">
        <v>580.86</v>
      </c>
      <c r="D98" s="76" t="n">
        <v>1800</v>
      </c>
    </row>
    <row r="99" customFormat="false" ht="12.8" hidden="false" customHeight="false" outlineLevel="0" collapsed="false">
      <c r="A99" s="75" t="n">
        <v>78.21</v>
      </c>
      <c r="B99" s="75" t="n">
        <v>67.08</v>
      </c>
      <c r="C99" s="75" t="n">
        <v>411.21</v>
      </c>
      <c r="D99" s="76" t="n">
        <v>1800.12</v>
      </c>
    </row>
    <row r="100" customFormat="false" ht="12.8" hidden="false" customHeight="false" outlineLevel="0" collapsed="false">
      <c r="A100" s="77" t="n">
        <v>0.24</v>
      </c>
      <c r="B100" s="77" t="n">
        <v>0.65</v>
      </c>
      <c r="C100" s="77" t="n">
        <v>0.18</v>
      </c>
      <c r="D100" s="76" t="n">
        <v>95.2446</v>
      </c>
    </row>
    <row r="101" customFormat="false" ht="12.8" hidden="false" customHeight="false" outlineLevel="0" collapsed="false">
      <c r="A101" s="75" t="n">
        <v>3600</v>
      </c>
      <c r="B101" s="75" t="n">
        <v>3600</v>
      </c>
      <c r="C101" s="75" t="n">
        <v>3600</v>
      </c>
      <c r="D101" s="76" t="n">
        <v>1800.02</v>
      </c>
    </row>
    <row r="102" customFormat="false" ht="12.8" hidden="false" customHeight="false" outlineLevel="0" collapsed="false">
      <c r="A102" s="75" t="n">
        <v>3600</v>
      </c>
      <c r="B102" s="75" t="n">
        <v>3600</v>
      </c>
      <c r="C102" s="75" t="n">
        <v>3600</v>
      </c>
      <c r="D102" s="76" t="n">
        <v>1800.2</v>
      </c>
    </row>
    <row r="103" customFormat="false" ht="12.8" hidden="false" customHeight="false" outlineLevel="0" collapsed="false">
      <c r="A103" s="75" t="n">
        <v>3600</v>
      </c>
      <c r="B103" s="75" t="n">
        <v>3600</v>
      </c>
      <c r="C103" s="75" t="n">
        <v>3600</v>
      </c>
      <c r="D103" s="76" t="n">
        <v>1800</v>
      </c>
    </row>
    <row r="104" customFormat="false" ht="12.8" hidden="false" customHeight="false" outlineLevel="0" collapsed="false">
      <c r="A104" s="75" t="n">
        <v>3600</v>
      </c>
      <c r="B104" s="75" t="n">
        <v>3600</v>
      </c>
      <c r="C104" s="75" t="n">
        <v>3600</v>
      </c>
      <c r="D104" s="76" t="n">
        <v>1800.26</v>
      </c>
    </row>
    <row r="105" customFormat="false" ht="12.8" hidden="false" customHeight="false" outlineLevel="0" collapsed="false">
      <c r="A105" s="75" t="n">
        <v>3600</v>
      </c>
      <c r="B105" s="75" t="n">
        <v>3600</v>
      </c>
      <c r="C105" s="75" t="n">
        <v>3600</v>
      </c>
      <c r="D105" s="76" t="n">
        <v>1800.08</v>
      </c>
    </row>
    <row r="106" customFormat="false" ht="12.8" hidden="false" customHeight="false" outlineLevel="0" collapsed="false">
      <c r="A106" s="75" t="n">
        <v>0.01</v>
      </c>
      <c r="B106" s="75" t="n">
        <v>0.09</v>
      </c>
      <c r="C106" s="75" t="n">
        <v>0.02</v>
      </c>
      <c r="D106" s="76" t="n">
        <v>5.57245</v>
      </c>
    </row>
    <row r="107" customFormat="false" ht="12.8" hidden="false" customHeight="false" outlineLevel="0" collapsed="false">
      <c r="A107" s="75" t="n">
        <v>1.38</v>
      </c>
      <c r="B107" s="75" t="n">
        <v>4.4</v>
      </c>
      <c r="C107" s="75" t="n">
        <v>2.29</v>
      </c>
      <c r="D107" s="76" t="n">
        <v>912.92</v>
      </c>
    </row>
    <row r="108" customFormat="false" ht="12.8" hidden="false" customHeight="false" outlineLevel="0" collapsed="false">
      <c r="A108" s="75" t="n">
        <v>25.63</v>
      </c>
      <c r="B108" s="75" t="n">
        <v>1338.27</v>
      </c>
      <c r="C108" s="75" t="n">
        <v>3600</v>
      </c>
      <c r="D108" s="76" t="n">
        <v>1800.01</v>
      </c>
    </row>
    <row r="109" customFormat="false" ht="12.8" hidden="false" customHeight="false" outlineLevel="0" collapsed="false">
      <c r="A109" s="75" t="n">
        <v>3600</v>
      </c>
      <c r="B109" s="75" t="n">
        <v>3600</v>
      </c>
      <c r="C109" s="75" t="n">
        <v>3600</v>
      </c>
      <c r="D109" s="76" t="n">
        <v>1800.03</v>
      </c>
    </row>
    <row r="110" customFormat="false" ht="12.8" hidden="false" customHeight="false" outlineLevel="0" collapsed="false">
      <c r="A110" s="75" t="n">
        <v>411.59</v>
      </c>
      <c r="B110" s="75" t="n">
        <v>3600</v>
      </c>
      <c r="C110" s="75" t="n">
        <v>3600</v>
      </c>
      <c r="D110" s="76" t="n">
        <v>1800.01</v>
      </c>
    </row>
    <row r="111" customFormat="false" ht="12.8" hidden="false" customHeight="false" outlineLevel="0" collapsed="false">
      <c r="A111" s="75" t="n">
        <v>3078.7</v>
      </c>
      <c r="B111" s="75" t="n">
        <v>3600</v>
      </c>
      <c r="C111" s="75" t="n">
        <v>3600</v>
      </c>
      <c r="D111" s="76" t="n">
        <v>1800.05</v>
      </c>
    </row>
    <row r="112" customFormat="false" ht="12.8" hidden="false" customHeight="false" outlineLevel="0" collapsed="false">
      <c r="A112" s="77" t="n">
        <v>0.01</v>
      </c>
      <c r="B112" s="77" t="n">
        <v>0.01</v>
      </c>
      <c r="C112" s="77" t="n">
        <v>0.01</v>
      </c>
      <c r="D112" s="77" t="n">
        <v>0.01</v>
      </c>
    </row>
    <row r="113" customFormat="false" ht="12.8" hidden="false" customHeight="false" outlineLevel="0" collapsed="false">
      <c r="A113" s="75" t="n">
        <v>0.34</v>
      </c>
      <c r="B113" s="75" t="n">
        <v>0.79</v>
      </c>
      <c r="C113" s="75" t="n">
        <v>0.13</v>
      </c>
      <c r="D113" s="76" t="n">
        <v>1800.36</v>
      </c>
    </row>
    <row r="114" customFormat="false" ht="12.8" hidden="false" customHeight="false" outlineLevel="0" collapsed="false">
      <c r="A114" s="75" t="n">
        <v>364.18</v>
      </c>
      <c r="B114" s="75" t="n">
        <v>3600</v>
      </c>
      <c r="C114" s="75" t="n">
        <v>3600</v>
      </c>
      <c r="D114" s="76" t="n">
        <v>1800.06</v>
      </c>
    </row>
    <row r="115" customFormat="false" ht="12.8" hidden="false" customHeight="false" outlineLevel="0" collapsed="false">
      <c r="A115" s="77" t="n">
        <v>157.57</v>
      </c>
      <c r="B115" s="77" t="n">
        <v>37.21</v>
      </c>
      <c r="C115" s="77" t="n">
        <v>75.83</v>
      </c>
      <c r="D115" s="76" t="n">
        <v>1800.07</v>
      </c>
    </row>
    <row r="116" customFormat="false" ht="12.8" hidden="false" customHeight="false" outlineLevel="0" collapsed="false">
      <c r="A116" s="77" t="n">
        <v>186.29</v>
      </c>
      <c r="B116" s="77" t="n">
        <v>3600</v>
      </c>
      <c r="C116" s="77" t="n">
        <v>3600</v>
      </c>
      <c r="D116" s="76" t="n">
        <v>1800.27</v>
      </c>
    </row>
    <row r="117" customFormat="false" ht="12.8" hidden="false" customHeight="false" outlineLevel="0" collapsed="false">
      <c r="A117" s="77" t="n">
        <v>144.6</v>
      </c>
      <c r="B117" s="77" t="n">
        <v>3600</v>
      </c>
      <c r="C117" s="77" t="n">
        <v>3600</v>
      </c>
      <c r="D117" s="76" t="n">
        <v>1800.05</v>
      </c>
    </row>
    <row r="118" customFormat="false" ht="12.8" hidden="false" customHeight="false" outlineLevel="0" collapsed="false">
      <c r="A118" s="77" t="n">
        <v>24.78</v>
      </c>
      <c r="B118" s="77" t="n">
        <v>40</v>
      </c>
      <c r="C118" s="77" t="n">
        <v>12.83</v>
      </c>
      <c r="D118" s="76" t="n">
        <v>69.083</v>
      </c>
    </row>
    <row r="119" customFormat="false" ht="12.8" hidden="false" customHeight="false" outlineLevel="0" collapsed="false">
      <c r="A119" s="77" t="n">
        <v>1.12</v>
      </c>
      <c r="B119" s="77" t="n">
        <v>2.78</v>
      </c>
      <c r="C119" s="77" t="n">
        <v>0.82</v>
      </c>
      <c r="D119" s="76" t="n">
        <v>110.84</v>
      </c>
    </row>
    <row r="120" customFormat="false" ht="12.8" hidden="false" customHeight="false" outlineLevel="0" collapsed="false">
      <c r="A120" s="75" t="n">
        <v>2.1</v>
      </c>
      <c r="B120" s="75" t="n">
        <v>2.25</v>
      </c>
      <c r="C120" s="75" t="n">
        <v>0.14</v>
      </c>
      <c r="D120" s="76" t="n">
        <v>1.37728</v>
      </c>
    </row>
    <row r="121" customFormat="false" ht="12.8" hidden="false" customHeight="false" outlineLevel="0" collapsed="false">
      <c r="A121" s="75" t="n">
        <v>3600</v>
      </c>
      <c r="B121" s="75" t="n">
        <v>3600</v>
      </c>
      <c r="C121" s="75" t="n">
        <v>16.4</v>
      </c>
      <c r="D121" s="76" t="n">
        <v>1800.01</v>
      </c>
    </row>
    <row r="122" customFormat="false" ht="12.8" hidden="false" customHeight="false" outlineLevel="0" collapsed="false">
      <c r="A122" s="75" t="n">
        <v>3600</v>
      </c>
      <c r="B122" s="75" t="n">
        <v>48.54</v>
      </c>
      <c r="C122" s="75" t="n">
        <v>2.8</v>
      </c>
      <c r="D122" s="76" t="n">
        <v>5.67695</v>
      </c>
    </row>
    <row r="123" customFormat="false" ht="12.8" hidden="false" customHeight="false" outlineLevel="0" collapsed="false">
      <c r="A123" s="75" t="n">
        <v>1329.02</v>
      </c>
      <c r="B123" s="75" t="n">
        <v>34.25</v>
      </c>
      <c r="C123" s="75" t="n">
        <v>1.34</v>
      </c>
      <c r="D123" s="76" t="n">
        <v>1800.09</v>
      </c>
    </row>
    <row r="124" customFormat="false" ht="12.8" hidden="false" customHeight="false" outlineLevel="0" collapsed="false">
      <c r="A124" s="75" t="n">
        <v>51.14</v>
      </c>
      <c r="B124" s="75" t="n">
        <v>21.97</v>
      </c>
      <c r="C124" s="75" t="n">
        <v>0.25</v>
      </c>
      <c r="D124" s="76" t="n">
        <v>0.200627</v>
      </c>
    </row>
    <row r="125" customFormat="false" ht="12.8" hidden="false" customHeight="false" outlineLevel="0" collapsed="false">
      <c r="A125" s="75" t="n">
        <v>3600</v>
      </c>
      <c r="B125" s="75" t="n">
        <v>3600</v>
      </c>
      <c r="C125" s="75" t="n">
        <v>163.67</v>
      </c>
      <c r="D125" s="76" t="n">
        <v>32.5909</v>
      </c>
    </row>
    <row r="126" customFormat="false" ht="12.8" hidden="false" customHeight="false" outlineLevel="0" collapsed="false">
      <c r="A126" s="75" t="n">
        <v>3600</v>
      </c>
      <c r="B126" s="75" t="n">
        <v>3600</v>
      </c>
      <c r="C126" s="75" t="n">
        <v>39.64</v>
      </c>
      <c r="D126" s="76" t="n">
        <v>1800</v>
      </c>
    </row>
    <row r="127" customFormat="false" ht="12.8" hidden="false" customHeight="false" outlineLevel="0" collapsed="false">
      <c r="A127" s="75" t="n">
        <v>3600</v>
      </c>
      <c r="B127" s="75" t="n">
        <v>24.88</v>
      </c>
      <c r="C127" s="75" t="n">
        <v>1.73</v>
      </c>
      <c r="D127" s="76" t="n">
        <v>2.90556</v>
      </c>
    </row>
    <row r="128" customFormat="false" ht="12.8" hidden="false" customHeight="false" outlineLevel="0" collapsed="false">
      <c r="A128" s="75" t="n">
        <v>3600</v>
      </c>
      <c r="B128" s="75" t="n">
        <v>3600</v>
      </c>
      <c r="C128" s="75" t="n">
        <v>829.77</v>
      </c>
      <c r="D128" s="76" t="n">
        <v>1800.02</v>
      </c>
    </row>
    <row r="129" customFormat="false" ht="12.8" hidden="false" customHeight="false" outlineLevel="0" collapsed="false">
      <c r="A129" s="75" t="n">
        <v>3600</v>
      </c>
      <c r="B129" s="75" t="n">
        <v>34.23</v>
      </c>
      <c r="C129" s="75" t="n">
        <v>13.72</v>
      </c>
      <c r="D129" s="76" t="n">
        <v>20.2368</v>
      </c>
    </row>
    <row r="130" customFormat="false" ht="12.8" hidden="false" customHeight="false" outlineLevel="0" collapsed="false">
      <c r="A130" s="75" t="n">
        <v>3600</v>
      </c>
      <c r="B130" s="75" t="n">
        <v>3600</v>
      </c>
      <c r="C130" s="75" t="n">
        <v>2161.91</v>
      </c>
      <c r="D130" s="76" t="n">
        <v>1800.02</v>
      </c>
    </row>
    <row r="131" customFormat="false" ht="12.8" hidden="false" customHeight="false" outlineLevel="0" collapsed="false">
      <c r="A131" s="75" t="n">
        <v>82.85</v>
      </c>
      <c r="B131" s="75" t="n">
        <v>866.14</v>
      </c>
      <c r="C131" s="75" t="n">
        <v>2.98</v>
      </c>
      <c r="D131" s="76" t="n">
        <v>287.198</v>
      </c>
    </row>
    <row r="132" customFormat="false" ht="12.8" hidden="false" customHeight="false" outlineLevel="0" collapsed="false">
      <c r="A132" s="75" t="n">
        <v>0.26</v>
      </c>
      <c r="B132" s="75" t="n">
        <v>57.32</v>
      </c>
      <c r="C132" s="75" t="n">
        <v>0</v>
      </c>
      <c r="D132" s="76" t="n">
        <v>1800</v>
      </c>
    </row>
    <row r="133" customFormat="false" ht="12.8" hidden="false" customHeight="false" outlineLevel="0" collapsed="false">
      <c r="A133" s="77" t="n">
        <v>3600</v>
      </c>
      <c r="B133" s="77" t="n">
        <v>43.36</v>
      </c>
      <c r="C133" s="77" t="n">
        <v>3600</v>
      </c>
      <c r="D133" s="76" t="n">
        <v>1800</v>
      </c>
    </row>
    <row r="134" customFormat="false" ht="12.8" hidden="false" customHeight="false" outlineLevel="0" collapsed="false">
      <c r="A134" s="77" t="n">
        <v>3600</v>
      </c>
      <c r="B134" s="77" t="n">
        <v>534.41</v>
      </c>
      <c r="C134" s="77" t="n">
        <v>3600</v>
      </c>
      <c r="D134" s="76" t="n">
        <v>1800</v>
      </c>
    </row>
    <row r="135" customFormat="false" ht="12.8" hidden="false" customHeight="false" outlineLevel="0" collapsed="false">
      <c r="A135" s="77" t="n">
        <v>3600</v>
      </c>
      <c r="B135" s="77" t="n">
        <v>3600</v>
      </c>
      <c r="C135" s="77" t="n">
        <v>3600</v>
      </c>
      <c r="D135" s="76" t="n">
        <v>1800</v>
      </c>
    </row>
    <row r="136" customFormat="false" ht="12.8" hidden="false" customHeight="false" outlineLevel="0" collapsed="false">
      <c r="A136" s="77" t="n">
        <v>9.5</v>
      </c>
      <c r="B136" s="77" t="n">
        <v>11.62</v>
      </c>
      <c r="C136" s="77" t="n">
        <v>3.57</v>
      </c>
      <c r="D136" s="76" t="n">
        <v>11.2781</v>
      </c>
    </row>
    <row r="137" customFormat="false" ht="12.8" hidden="false" customHeight="false" outlineLevel="0" collapsed="false">
      <c r="A137" s="77" t="n">
        <v>88.12</v>
      </c>
      <c r="B137" s="77" t="n">
        <v>25.13</v>
      </c>
      <c r="C137" s="77" t="n">
        <v>13.42</v>
      </c>
      <c r="D137" s="76" t="n">
        <v>25.0385</v>
      </c>
    </row>
    <row r="138" customFormat="false" ht="12.8" hidden="false" customHeight="false" outlineLevel="0" collapsed="false">
      <c r="A138" s="77" t="n">
        <v>3600</v>
      </c>
      <c r="B138" s="77" t="n">
        <v>44.96</v>
      </c>
      <c r="C138" s="77" t="n">
        <v>3600</v>
      </c>
      <c r="D138" s="76" t="n">
        <v>1800.07</v>
      </c>
    </row>
    <row r="139" customFormat="false" ht="12.8" hidden="false" customHeight="false" outlineLevel="0" collapsed="false">
      <c r="A139" s="77" t="n">
        <v>3600</v>
      </c>
      <c r="B139" s="77" t="n">
        <v>3600</v>
      </c>
      <c r="C139" s="77" t="n">
        <v>3600</v>
      </c>
      <c r="D139" s="76" t="n">
        <v>1800.11</v>
      </c>
    </row>
    <row r="140" customFormat="false" ht="12.8" hidden="false" customHeight="false" outlineLevel="0" collapsed="false">
      <c r="A140" s="77" t="n">
        <v>3600</v>
      </c>
      <c r="B140" s="77" t="n">
        <v>25.25</v>
      </c>
      <c r="C140" s="77" t="n">
        <v>2099.11</v>
      </c>
      <c r="D140" s="76" t="n">
        <v>856.269</v>
      </c>
    </row>
    <row r="141" customFormat="false" ht="12.8" hidden="false" customHeight="false" outlineLevel="0" collapsed="false">
      <c r="A141" s="77" t="n">
        <v>3600</v>
      </c>
      <c r="B141" s="77" t="n">
        <v>3600</v>
      </c>
      <c r="C141" s="77" t="n">
        <v>3600</v>
      </c>
      <c r="D141" s="76" t="n">
        <v>1800.06</v>
      </c>
    </row>
    <row r="142" customFormat="false" ht="12.8" hidden="false" customHeight="false" outlineLevel="0" collapsed="false">
      <c r="A142" s="77" t="n">
        <v>3600</v>
      </c>
      <c r="B142" s="77" t="n">
        <v>3600</v>
      </c>
      <c r="C142" s="77" t="n">
        <v>3600</v>
      </c>
      <c r="D142" s="76" t="n">
        <v>1800</v>
      </c>
    </row>
    <row r="143" customFormat="false" ht="12.8" hidden="false" customHeight="false" outlineLevel="0" collapsed="false">
      <c r="A143" s="75" t="n">
        <v>16.08</v>
      </c>
      <c r="B143" s="75" t="n">
        <v>3600</v>
      </c>
      <c r="C143" s="75" t="n">
        <v>0.02</v>
      </c>
      <c r="D143" s="76" t="n">
        <v>1800.25</v>
      </c>
    </row>
    <row r="144" customFormat="false" ht="12.8" hidden="false" customHeight="false" outlineLevel="0" collapsed="false">
      <c r="A144" s="75" t="n">
        <v>6.74</v>
      </c>
      <c r="B144" s="75" t="n">
        <v>5.7</v>
      </c>
      <c r="C144" s="75" t="n">
        <v>0.54</v>
      </c>
      <c r="D144" s="76" t="n">
        <v>1.1302</v>
      </c>
    </row>
    <row r="145" customFormat="false" ht="12.8" hidden="false" customHeight="false" outlineLevel="0" collapsed="false">
      <c r="A145" s="77" t="n">
        <v>0.01</v>
      </c>
      <c r="B145" s="77" t="n">
        <v>0.01</v>
      </c>
      <c r="C145" s="77" t="n">
        <v>0.01</v>
      </c>
      <c r="D145" s="77" t="n">
        <v>0.01</v>
      </c>
    </row>
    <row r="146" customFormat="false" ht="12.8" hidden="false" customHeight="false" outlineLevel="0" collapsed="false">
      <c r="A146" s="75" t="n">
        <v>8.22</v>
      </c>
      <c r="B146" s="75" t="n">
        <v>15.57</v>
      </c>
      <c r="C146" s="75" t="n">
        <v>0.52</v>
      </c>
      <c r="D146" s="76" t="n">
        <v>1.83834</v>
      </c>
    </row>
    <row r="147" customFormat="false" ht="12.8" hidden="false" customHeight="false" outlineLevel="0" collapsed="false">
      <c r="A147" s="75" t="n">
        <v>3600</v>
      </c>
      <c r="B147" s="75" t="n">
        <v>3600</v>
      </c>
      <c r="C147" s="75" t="n">
        <v>3600</v>
      </c>
      <c r="D147" s="76" t="n">
        <v>1800.17</v>
      </c>
    </row>
    <row r="148" customFormat="false" ht="12.8" hidden="false" customHeight="false" outlineLevel="0" collapsed="false">
      <c r="A148" s="75" t="n">
        <v>0.27</v>
      </c>
      <c r="B148" s="75" t="n">
        <v>0.01</v>
      </c>
      <c r="C148" s="75" t="n">
        <v>0</v>
      </c>
      <c r="D148" s="76" t="n">
        <v>1800.4</v>
      </c>
    </row>
    <row r="149" customFormat="false" ht="12.8" hidden="false" customHeight="false" outlineLevel="0" collapsed="false">
      <c r="A149" s="77" t="n">
        <v>966.14</v>
      </c>
      <c r="B149" s="77" t="n">
        <v>23.88</v>
      </c>
      <c r="C149" s="77" t="n">
        <v>3600</v>
      </c>
      <c r="D149" s="76" t="n">
        <v>1800.24</v>
      </c>
    </row>
    <row r="150" customFormat="false" ht="12.8" hidden="false" customHeight="false" outlineLevel="0" collapsed="false">
      <c r="A150" s="77" t="n">
        <v>3600</v>
      </c>
      <c r="B150" s="77" t="n">
        <v>3600</v>
      </c>
      <c r="C150" s="77" t="n">
        <v>3600</v>
      </c>
      <c r="D150" s="76" t="n">
        <v>1800.06</v>
      </c>
    </row>
    <row r="151" customFormat="false" ht="12.8" hidden="false" customHeight="false" outlineLevel="0" collapsed="false">
      <c r="A151" s="77" t="n">
        <v>3600</v>
      </c>
      <c r="B151" s="77" t="n">
        <v>28.15</v>
      </c>
      <c r="C151" s="77" t="n">
        <v>3600</v>
      </c>
      <c r="D151" s="76" t="n">
        <v>1800.05</v>
      </c>
    </row>
    <row r="152" customFormat="false" ht="12.8" hidden="false" customHeight="false" outlineLevel="0" collapsed="false">
      <c r="A152" s="77" t="n">
        <v>3600</v>
      </c>
      <c r="B152" s="77" t="n">
        <v>1994.16</v>
      </c>
      <c r="C152" s="77" t="n">
        <v>3600</v>
      </c>
      <c r="D152" s="76" t="n">
        <v>1800.34</v>
      </c>
    </row>
    <row r="153" customFormat="false" ht="12.8" hidden="false" customHeight="false" outlineLevel="0" collapsed="false">
      <c r="A153" s="75" t="n">
        <v>3600</v>
      </c>
      <c r="B153" s="75" t="n">
        <v>3600</v>
      </c>
      <c r="C153" s="75" t="n">
        <v>3600</v>
      </c>
      <c r="D153" s="76" t="n">
        <v>1800.1</v>
      </c>
    </row>
    <row r="154" customFormat="false" ht="12.8" hidden="false" customHeight="false" outlineLevel="0" collapsed="false">
      <c r="A154" s="75" t="n">
        <v>3600</v>
      </c>
      <c r="B154" s="75" t="n">
        <v>3600</v>
      </c>
      <c r="C154" s="75" t="n">
        <v>3600</v>
      </c>
      <c r="D154" s="76" t="n">
        <v>1800.21</v>
      </c>
    </row>
    <row r="155" customFormat="false" ht="12.8" hidden="false" customHeight="false" outlineLevel="0" collapsed="false">
      <c r="A155" s="77" t="n">
        <v>3600</v>
      </c>
      <c r="B155" s="77" t="n">
        <v>3139.1</v>
      </c>
      <c r="C155" s="77" t="n">
        <v>3600</v>
      </c>
      <c r="D155" s="76" t="n">
        <v>1800.19</v>
      </c>
    </row>
    <row r="156" customFormat="false" ht="12.8" hidden="false" customHeight="false" outlineLevel="0" collapsed="false">
      <c r="A156" s="75" t="n">
        <v>5.96</v>
      </c>
      <c r="B156" s="75" t="n">
        <v>9.95</v>
      </c>
      <c r="C156" s="75" t="n">
        <v>0.01</v>
      </c>
      <c r="D156" s="76" t="n">
        <v>1.88657</v>
      </c>
    </row>
    <row r="157" customFormat="false" ht="12.8" hidden="false" customHeight="false" outlineLevel="0" collapsed="false">
      <c r="A157" s="77" t="n">
        <v>4.17</v>
      </c>
      <c r="B157" s="77" t="n">
        <v>5.17</v>
      </c>
      <c r="C157" s="77" t="n">
        <v>2.07</v>
      </c>
      <c r="D157" s="76" t="n">
        <v>114.391</v>
      </c>
    </row>
    <row r="158" customFormat="false" ht="12.8" hidden="false" customHeight="false" outlineLevel="0" collapsed="false">
      <c r="A158" s="75" t="n">
        <v>1817.51</v>
      </c>
      <c r="B158" s="75" t="n">
        <v>3600</v>
      </c>
      <c r="C158" s="75" t="n">
        <v>269.73</v>
      </c>
      <c r="D158" s="76" t="n">
        <v>1800</v>
      </c>
    </row>
    <row r="159" customFormat="false" ht="12.8" hidden="false" customHeight="false" outlineLevel="0" collapsed="false">
      <c r="A159" s="75" t="n">
        <v>0.2</v>
      </c>
      <c r="B159" s="75" t="n">
        <v>2.89</v>
      </c>
      <c r="C159" s="75" t="n">
        <v>0</v>
      </c>
      <c r="D159" s="76" t="n">
        <v>4.18858</v>
      </c>
    </row>
    <row r="160" customFormat="false" ht="12.8" hidden="false" customHeight="false" outlineLevel="0" collapsed="false">
      <c r="A160" s="75" t="n">
        <v>0.08</v>
      </c>
      <c r="B160" s="75" t="n">
        <v>0.18</v>
      </c>
      <c r="C160" s="75" t="n">
        <v>0</v>
      </c>
      <c r="D160" s="76" t="n">
        <v>0.189824</v>
      </c>
    </row>
    <row r="161" customFormat="false" ht="12.8" hidden="false" customHeight="false" outlineLevel="0" collapsed="false">
      <c r="A161" s="77" t="n">
        <v>5.22</v>
      </c>
      <c r="B161" s="77" t="n">
        <v>3600</v>
      </c>
      <c r="C161" s="77" t="n">
        <v>170.85</v>
      </c>
      <c r="D161" s="76" t="n">
        <v>1800</v>
      </c>
    </row>
    <row r="162" customFormat="false" ht="12.8" hidden="false" customHeight="false" outlineLevel="0" collapsed="false">
      <c r="A162" s="77" t="n">
        <v>6.8</v>
      </c>
      <c r="B162" s="77" t="n">
        <v>3600</v>
      </c>
      <c r="C162" s="77" t="n">
        <v>3.71</v>
      </c>
      <c r="D162" s="76" t="n">
        <v>1800.13</v>
      </c>
    </row>
    <row r="163" customFormat="false" ht="12.8" hidden="false" customHeight="false" outlineLevel="0" collapsed="false">
      <c r="A163" s="77" t="n">
        <v>7.49</v>
      </c>
      <c r="B163" s="77" t="n">
        <v>3600</v>
      </c>
      <c r="C163" s="77" t="n">
        <v>225.32</v>
      </c>
      <c r="D163" s="76" t="n">
        <v>1800</v>
      </c>
    </row>
    <row r="164" customFormat="false" ht="12.8" hidden="false" customHeight="false" outlineLevel="0" collapsed="false">
      <c r="A164" s="77" t="n">
        <v>2.88</v>
      </c>
      <c r="B164" s="77" t="n">
        <v>3600</v>
      </c>
      <c r="C164" s="77" t="n">
        <v>11.09</v>
      </c>
      <c r="D164" s="76" t="n">
        <v>1800</v>
      </c>
    </row>
    <row r="165" customFormat="false" ht="12.8" hidden="false" customHeight="false" outlineLevel="0" collapsed="false">
      <c r="A165" s="77" t="n">
        <v>9.89</v>
      </c>
      <c r="B165" s="77" t="n">
        <v>3600</v>
      </c>
      <c r="C165" s="77" t="n">
        <v>501.24</v>
      </c>
      <c r="D165" s="76" t="n">
        <v>1800</v>
      </c>
    </row>
    <row r="166" customFormat="false" ht="12.8" hidden="false" customHeight="false" outlineLevel="0" collapsed="false">
      <c r="A166" s="77" t="n">
        <v>0.5</v>
      </c>
      <c r="B166" s="77" t="n">
        <v>1.88</v>
      </c>
      <c r="C166" s="77" t="n">
        <v>0.95</v>
      </c>
      <c r="D166" s="76" t="n">
        <v>1800</v>
      </c>
    </row>
    <row r="167" customFormat="false" ht="12.8" hidden="false" customHeight="false" outlineLevel="0" collapsed="false">
      <c r="A167" s="77" t="n">
        <v>3600</v>
      </c>
      <c r="B167" s="77" t="n">
        <v>3600</v>
      </c>
      <c r="C167" s="77" t="n">
        <v>3600</v>
      </c>
      <c r="D167" s="76" t="n">
        <v>1800.01</v>
      </c>
    </row>
    <row r="168" customFormat="false" ht="12.8" hidden="false" customHeight="false" outlineLevel="0" collapsed="false">
      <c r="A168" s="77" t="n">
        <v>3600</v>
      </c>
      <c r="B168" s="77" t="n">
        <v>3600</v>
      </c>
      <c r="C168" s="77" t="n">
        <v>3600</v>
      </c>
      <c r="D168" s="76" t="n">
        <v>1800.09</v>
      </c>
    </row>
    <row r="169" customFormat="false" ht="12.8" hidden="false" customHeight="false" outlineLevel="0" collapsed="false">
      <c r="A169" s="77" t="n">
        <v>3600</v>
      </c>
      <c r="B169" s="77" t="n">
        <v>3600</v>
      </c>
      <c r="C169" s="77" t="n">
        <v>3600</v>
      </c>
      <c r="D169" s="76" t="n">
        <v>1800</v>
      </c>
    </row>
    <row r="170" customFormat="false" ht="12.8" hidden="false" customHeight="false" outlineLevel="0" collapsed="false">
      <c r="A170" s="77" t="n">
        <v>3600</v>
      </c>
      <c r="B170" s="77" t="n">
        <v>3600</v>
      </c>
      <c r="C170" s="77" t="n">
        <v>3600</v>
      </c>
      <c r="D170" s="76" t="n">
        <v>1800</v>
      </c>
    </row>
    <row r="171" customFormat="false" ht="12.8" hidden="false" customHeight="false" outlineLevel="0" collapsed="false">
      <c r="A171" s="77" t="n">
        <v>3600</v>
      </c>
      <c r="B171" s="77" t="n">
        <v>3600</v>
      </c>
      <c r="C171" s="77" t="n">
        <v>3600</v>
      </c>
      <c r="D171" s="76" t="n">
        <v>1800.05</v>
      </c>
    </row>
    <row r="172" customFormat="false" ht="12.8" hidden="false" customHeight="false" outlineLevel="0" collapsed="false">
      <c r="A172" s="77" t="n">
        <v>3600</v>
      </c>
      <c r="B172" s="77" t="n">
        <v>3600</v>
      </c>
      <c r="C172" s="77" t="n">
        <v>3600</v>
      </c>
      <c r="D172" s="76" t="n">
        <v>1800.05</v>
      </c>
    </row>
    <row r="173" customFormat="false" ht="12.8" hidden="false" customHeight="false" outlineLevel="0" collapsed="false">
      <c r="A173" s="77" t="n">
        <v>3600</v>
      </c>
      <c r="B173" s="77" t="n">
        <v>30.37</v>
      </c>
      <c r="C173" s="77" t="n">
        <v>157.35</v>
      </c>
      <c r="D173" s="76" t="n">
        <v>271.77</v>
      </c>
    </row>
    <row r="174" customFormat="false" ht="12.8" hidden="false" customHeight="false" outlineLevel="0" collapsed="false">
      <c r="A174" s="77" t="n">
        <v>3600</v>
      </c>
      <c r="B174" s="77" t="n">
        <v>35.26</v>
      </c>
      <c r="C174" s="77" t="n">
        <v>3600</v>
      </c>
      <c r="D174" s="76" t="n">
        <v>947.342</v>
      </c>
    </row>
    <row r="175" customFormat="false" ht="12.8" hidden="false" customHeight="false" outlineLevel="0" collapsed="false">
      <c r="A175" s="77" t="n">
        <v>0.22</v>
      </c>
      <c r="B175" s="77" t="n">
        <v>3600</v>
      </c>
      <c r="C175" s="77" t="n">
        <v>0.09</v>
      </c>
      <c r="D175" s="76" t="n">
        <v>29.9787</v>
      </c>
    </row>
    <row r="176" customFormat="false" ht="12.8" hidden="false" customHeight="false" outlineLevel="0" collapsed="false">
      <c r="A176" s="77" t="n">
        <v>3.27</v>
      </c>
      <c r="B176" s="77" t="n">
        <v>3600</v>
      </c>
      <c r="C176" s="77" t="n">
        <v>6.38</v>
      </c>
      <c r="D176" s="76" t="n">
        <v>1800.07</v>
      </c>
    </row>
    <row r="177" customFormat="false" ht="12.8" hidden="false" customHeight="false" outlineLevel="0" collapsed="false">
      <c r="A177" s="77" t="n">
        <v>0.66</v>
      </c>
      <c r="B177" s="77" t="n">
        <v>14.19</v>
      </c>
      <c r="C177" s="77" t="n">
        <v>2.86</v>
      </c>
      <c r="D177" s="76" t="n">
        <v>1800.06</v>
      </c>
    </row>
    <row r="178" customFormat="false" ht="12.8" hidden="false" customHeight="false" outlineLevel="0" collapsed="false">
      <c r="A178" s="77" t="n">
        <v>0.16</v>
      </c>
      <c r="B178" s="77" t="n">
        <v>37.53</v>
      </c>
      <c r="C178" s="77" t="n">
        <v>0.75</v>
      </c>
      <c r="D178" s="76" t="n">
        <v>1800</v>
      </c>
    </row>
    <row r="179" customFormat="false" ht="12.8" hidden="false" customHeight="false" outlineLevel="0" collapsed="false">
      <c r="A179" s="75" t="n">
        <v>0.57</v>
      </c>
      <c r="B179" s="75" t="n">
        <v>3.72</v>
      </c>
      <c r="C179" s="75" t="n">
        <v>0</v>
      </c>
      <c r="D179" s="76" t="n">
        <v>1.69176</v>
      </c>
    </row>
    <row r="180" customFormat="false" ht="12.8" hidden="false" customHeight="false" outlineLevel="0" collapsed="false">
      <c r="A180" s="77" t="n">
        <v>3600</v>
      </c>
      <c r="B180" s="77" t="n">
        <v>3600</v>
      </c>
      <c r="C180" s="77" t="n">
        <v>3600</v>
      </c>
      <c r="D180" s="76" t="n">
        <v>1800.09</v>
      </c>
    </row>
    <row r="181" customFormat="false" ht="12.8" hidden="false" customHeight="false" outlineLevel="0" collapsed="false">
      <c r="A181" s="77" t="n">
        <v>0.01</v>
      </c>
      <c r="B181" s="77" t="n">
        <v>0.01</v>
      </c>
      <c r="C181" s="77" t="n">
        <v>0.01</v>
      </c>
      <c r="D181" s="77" t="n">
        <v>0.01</v>
      </c>
    </row>
    <row r="182" customFormat="false" ht="12.8" hidden="false" customHeight="false" outlineLevel="0" collapsed="false">
      <c r="A182" s="75" t="n">
        <v>3600</v>
      </c>
      <c r="B182" s="75" t="n">
        <v>3600</v>
      </c>
      <c r="C182" s="75" t="n">
        <v>3600</v>
      </c>
      <c r="D182" s="76" t="n">
        <v>1800.01</v>
      </c>
    </row>
    <row r="183" customFormat="false" ht="12.8" hidden="false" customHeight="false" outlineLevel="0" collapsed="false">
      <c r="A183" s="75" t="n">
        <v>3600</v>
      </c>
      <c r="B183" s="75" t="n">
        <v>3600</v>
      </c>
      <c r="C183" s="75" t="n">
        <v>3600</v>
      </c>
      <c r="D183" s="76" t="n">
        <v>1800</v>
      </c>
    </row>
    <row r="184" customFormat="false" ht="12.8" hidden="false" customHeight="false" outlineLevel="0" collapsed="false">
      <c r="A184" s="75" t="n">
        <v>3600</v>
      </c>
      <c r="B184" s="75" t="n">
        <v>27.89</v>
      </c>
      <c r="C184" s="75" t="n">
        <v>8.34</v>
      </c>
      <c r="D184" s="76" t="n">
        <v>5.7607</v>
      </c>
    </row>
    <row r="185" customFormat="false" ht="12.8" hidden="false" customHeight="false" outlineLevel="0" collapsed="false">
      <c r="A185" s="75" t="n">
        <v>3600</v>
      </c>
      <c r="B185" s="75" t="n">
        <v>23.9</v>
      </c>
      <c r="C185" s="75" t="n">
        <v>8.65</v>
      </c>
      <c r="D185" s="76" t="n">
        <v>5.89922</v>
      </c>
    </row>
    <row r="186" customFormat="false" ht="12.8" hidden="false" customHeight="false" outlineLevel="0" collapsed="false">
      <c r="A186" s="75" t="n">
        <v>3600</v>
      </c>
      <c r="B186" s="75" t="n">
        <v>27.61</v>
      </c>
      <c r="C186" s="75" t="n">
        <v>2.37</v>
      </c>
      <c r="D186" s="76" t="n">
        <v>2.49347</v>
      </c>
    </row>
    <row r="187" customFormat="false" ht="12.8" hidden="false" customHeight="false" outlineLevel="0" collapsed="false">
      <c r="A187" s="75" t="n">
        <v>3600</v>
      </c>
      <c r="B187" s="75" t="n">
        <v>27.29</v>
      </c>
      <c r="C187" s="75" t="n">
        <v>2.15</v>
      </c>
      <c r="D187" s="76" t="n">
        <v>1.42771</v>
      </c>
    </row>
    <row r="188" customFormat="false" ht="12.8" hidden="false" customHeight="false" outlineLevel="0" collapsed="false">
      <c r="A188" s="77" t="n">
        <v>0.01</v>
      </c>
      <c r="B188" s="77" t="n">
        <v>0.01</v>
      </c>
      <c r="C188" s="77" t="n">
        <v>0.01</v>
      </c>
      <c r="D188" s="77" t="n">
        <v>0.01</v>
      </c>
    </row>
    <row r="189" customFormat="false" ht="12.8" hidden="false" customHeight="false" outlineLevel="0" collapsed="false">
      <c r="A189" s="77" t="n">
        <v>0.01</v>
      </c>
      <c r="B189" s="77" t="n">
        <v>0.01</v>
      </c>
      <c r="C189" s="77" t="n">
        <v>0.01</v>
      </c>
      <c r="D189" s="77" t="n">
        <v>0.01</v>
      </c>
    </row>
    <row r="190" customFormat="false" ht="12.8" hidden="false" customHeight="false" outlineLevel="0" collapsed="false">
      <c r="A190" s="77" t="n">
        <v>0.01</v>
      </c>
      <c r="B190" s="77" t="n">
        <v>0.01</v>
      </c>
      <c r="C190" s="77" t="n">
        <v>0.01</v>
      </c>
      <c r="D190" s="77" t="n">
        <v>0.01</v>
      </c>
    </row>
    <row r="191" customFormat="false" ht="12.8" hidden="false" customHeight="false" outlineLevel="0" collapsed="false">
      <c r="A191" s="77" t="n">
        <v>0.01</v>
      </c>
      <c r="B191" s="77" t="n">
        <v>0.01</v>
      </c>
      <c r="C191" s="77" t="n">
        <v>0.01</v>
      </c>
      <c r="D191" s="77" t="n">
        <v>0.01</v>
      </c>
    </row>
    <row r="192" customFormat="false" ht="12.8" hidden="false" customHeight="false" outlineLevel="0" collapsed="false">
      <c r="A192" s="75" t="n">
        <v>0.21</v>
      </c>
      <c r="B192" s="75" t="n">
        <v>0.05</v>
      </c>
      <c r="C192" s="75" t="n">
        <v>0.01</v>
      </c>
      <c r="D192" s="76" t="n">
        <v>0.413539</v>
      </c>
    </row>
    <row r="193" customFormat="false" ht="12.8" hidden="false" customHeight="false" outlineLevel="0" collapsed="false">
      <c r="A193" s="75" t="n">
        <v>732.31</v>
      </c>
      <c r="B193" s="75" t="n">
        <v>26.63</v>
      </c>
      <c r="C193" s="75" t="n">
        <v>0.86</v>
      </c>
      <c r="D193" s="76" t="n">
        <v>20.2807</v>
      </c>
    </row>
    <row r="194" customFormat="false" ht="12.8" hidden="false" customHeight="false" outlineLevel="0" collapsed="false">
      <c r="A194" s="75" t="n">
        <v>3600</v>
      </c>
      <c r="B194" s="75" t="n">
        <v>3600</v>
      </c>
      <c r="C194" s="75" t="n">
        <v>18.63</v>
      </c>
      <c r="D194" s="76" t="n">
        <v>1800.07</v>
      </c>
    </row>
    <row r="195" customFormat="false" ht="12.8" hidden="false" customHeight="false" outlineLevel="0" collapsed="false">
      <c r="A195" s="75" t="n">
        <v>3600</v>
      </c>
      <c r="B195" s="75" t="n">
        <v>3600</v>
      </c>
      <c r="C195" s="75" t="n">
        <v>1733.41</v>
      </c>
      <c r="D195" s="76" t="n">
        <v>1800.04</v>
      </c>
    </row>
    <row r="196" customFormat="false" ht="12.8" hidden="false" customHeight="false" outlineLevel="0" collapsed="false">
      <c r="A196" s="75" t="n">
        <v>3600</v>
      </c>
      <c r="B196" s="75" t="n">
        <v>388.26</v>
      </c>
      <c r="C196" s="75" t="n">
        <v>394.9</v>
      </c>
      <c r="D196" s="76" t="n">
        <v>1800.1</v>
      </c>
    </row>
    <row r="197" customFormat="false" ht="12.8" hidden="false" customHeight="false" outlineLevel="0" collapsed="false">
      <c r="A197" s="75" t="n">
        <v>1.06</v>
      </c>
      <c r="B197" s="75" t="n">
        <v>5.76</v>
      </c>
      <c r="C197" s="75" t="n">
        <v>0.16</v>
      </c>
      <c r="D197" s="76" t="n">
        <v>1800.2</v>
      </c>
    </row>
    <row r="198" customFormat="false" ht="12.8" hidden="false" customHeight="false" outlineLevel="0" collapsed="false">
      <c r="A198" s="75" t="n">
        <v>3600</v>
      </c>
      <c r="B198" s="75" t="n">
        <v>3600</v>
      </c>
      <c r="C198" s="75" t="n">
        <v>3600</v>
      </c>
      <c r="D198" s="76" t="n">
        <v>1800.04</v>
      </c>
    </row>
    <row r="199" customFormat="false" ht="12.8" hidden="false" customHeight="false" outlineLevel="0" collapsed="false">
      <c r="A199" s="75" t="n">
        <v>3600</v>
      </c>
      <c r="B199" s="75" t="n">
        <v>3600</v>
      </c>
      <c r="C199" s="75" t="n">
        <v>3600</v>
      </c>
      <c r="D199" s="76" t="n">
        <v>1800.11</v>
      </c>
    </row>
    <row r="200" customFormat="false" ht="12.8" hidden="false" customHeight="false" outlineLevel="0" collapsed="false">
      <c r="A200" s="75" t="n">
        <v>3600</v>
      </c>
      <c r="B200" s="75" t="n">
        <v>3600</v>
      </c>
      <c r="C200" s="75" t="n">
        <v>3600</v>
      </c>
      <c r="D200" s="76" t="n">
        <v>1800.08</v>
      </c>
    </row>
    <row r="201" customFormat="false" ht="12.8" hidden="false" customHeight="false" outlineLevel="0" collapsed="false">
      <c r="A201" s="75" t="n">
        <v>3600</v>
      </c>
      <c r="B201" s="75" t="n">
        <v>3600</v>
      </c>
      <c r="C201" s="75" t="n">
        <v>3600</v>
      </c>
      <c r="D201" s="76" t="n">
        <v>1800.05</v>
      </c>
    </row>
    <row r="202" customFormat="false" ht="12.8" hidden="false" customHeight="false" outlineLevel="0" collapsed="false">
      <c r="A202" s="77" t="n">
        <v>0.01</v>
      </c>
      <c r="B202" s="77" t="n">
        <v>0.01</v>
      </c>
      <c r="C202" s="77" t="n">
        <v>0.01</v>
      </c>
      <c r="D202" s="77" t="n">
        <v>0.01</v>
      </c>
    </row>
    <row r="203" customFormat="false" ht="12.8" hidden="false" customHeight="false" outlineLevel="0" collapsed="false">
      <c r="A203" s="77" t="n">
        <v>3600</v>
      </c>
      <c r="B203" s="77" t="n">
        <v>3600</v>
      </c>
      <c r="C203" s="77" t="n">
        <v>3600</v>
      </c>
      <c r="D203" s="76" t="n">
        <v>1800.07</v>
      </c>
    </row>
    <row r="204" customFormat="false" ht="12.8" hidden="false" customHeight="false" outlineLevel="0" collapsed="false">
      <c r="A204" s="77" t="n">
        <v>3600</v>
      </c>
      <c r="B204" s="77" t="n">
        <v>688.55</v>
      </c>
      <c r="C204" s="77" t="n">
        <v>3600</v>
      </c>
      <c r="D204" s="76" t="n">
        <v>1800.01</v>
      </c>
    </row>
    <row r="205" customFormat="false" ht="12.8" hidden="false" customHeight="false" outlineLevel="0" collapsed="false">
      <c r="A205" s="77" t="n">
        <v>3600</v>
      </c>
      <c r="B205" s="77" t="n">
        <v>34.71</v>
      </c>
      <c r="C205" s="77" t="n">
        <v>385.95</v>
      </c>
      <c r="D205" s="76" t="n">
        <v>1800</v>
      </c>
    </row>
    <row r="206" customFormat="false" ht="12.8" hidden="false" customHeight="false" outlineLevel="0" collapsed="false">
      <c r="A206" s="77" t="n">
        <v>0.05</v>
      </c>
      <c r="B206" s="77" t="n">
        <v>0.17</v>
      </c>
      <c r="C206" s="77" t="n">
        <v>0.11</v>
      </c>
      <c r="D206" s="76" t="n">
        <v>1800.01</v>
      </c>
    </row>
    <row r="207" customFormat="false" ht="12.8" hidden="false" customHeight="false" outlineLevel="0" collapsed="false">
      <c r="A207" s="75" t="n">
        <v>3600</v>
      </c>
      <c r="B207" s="75" t="n">
        <v>3600</v>
      </c>
      <c r="C207" s="75" t="n">
        <v>21.42</v>
      </c>
      <c r="D207" s="78" t="n">
        <v>1800.03</v>
      </c>
    </row>
    <row r="208" customFormat="false" ht="12.8" hidden="false" customHeight="false" outlineLevel="0" collapsed="false">
      <c r="A208" s="75" t="n">
        <v>2717.2</v>
      </c>
      <c r="B208" s="75" t="n">
        <v>56.18</v>
      </c>
      <c r="C208" s="75" t="n">
        <v>2.46</v>
      </c>
      <c r="D208" s="78" t="n">
        <v>3.29039</v>
      </c>
    </row>
    <row r="209" customFormat="false" ht="12.8" hidden="false" customHeight="false" outlineLevel="0" collapsed="false">
      <c r="A209" s="75" t="n">
        <v>217.61</v>
      </c>
      <c r="B209" s="75" t="n">
        <v>23.2</v>
      </c>
      <c r="C209" s="75" t="n">
        <v>0.74</v>
      </c>
      <c r="D209" s="78" t="n">
        <v>220.214</v>
      </c>
    </row>
    <row r="210" customFormat="false" ht="12.8" hidden="false" customHeight="false" outlineLevel="0" collapsed="false">
      <c r="A210" s="75" t="n">
        <v>334.47</v>
      </c>
      <c r="B210" s="75" t="n">
        <v>20.11</v>
      </c>
      <c r="C210" s="75" t="n">
        <v>0.24</v>
      </c>
      <c r="D210" s="78" t="n">
        <v>0.238681</v>
      </c>
    </row>
    <row r="211" customFormat="false" ht="12.8" hidden="false" customHeight="false" outlineLevel="0" collapsed="false">
      <c r="A211" s="75" t="n">
        <v>3600</v>
      </c>
      <c r="B211" s="75" t="n">
        <v>3600</v>
      </c>
      <c r="C211" s="75" t="n">
        <v>674.54</v>
      </c>
      <c r="D211" s="78" t="n">
        <v>246.486</v>
      </c>
    </row>
    <row r="212" customFormat="false" ht="12.8" hidden="false" customHeight="false" outlineLevel="0" collapsed="false">
      <c r="A212" s="75" t="n">
        <v>3600</v>
      </c>
      <c r="B212" s="75" t="n">
        <v>70.38</v>
      </c>
      <c r="C212" s="75" t="n">
        <v>2.89</v>
      </c>
      <c r="D212" s="78" t="n">
        <v>1800.08</v>
      </c>
    </row>
    <row r="213" customFormat="false" ht="12.8" hidden="false" customHeight="false" outlineLevel="0" collapsed="false">
      <c r="A213" s="75" t="n">
        <v>3600</v>
      </c>
      <c r="B213" s="75" t="n">
        <v>24.64</v>
      </c>
      <c r="C213" s="75" t="n">
        <v>2.59</v>
      </c>
      <c r="D213" s="78" t="n">
        <v>1.09793</v>
      </c>
    </row>
    <row r="214" customFormat="false" ht="12.8" hidden="false" customHeight="false" outlineLevel="0" collapsed="false">
      <c r="A214" s="75" t="n">
        <v>3600</v>
      </c>
      <c r="B214" s="75" t="n">
        <v>3600</v>
      </c>
      <c r="C214" s="75" t="n">
        <v>159.96</v>
      </c>
      <c r="D214" s="78" t="n">
        <v>1800.03</v>
      </c>
    </row>
    <row r="215" customFormat="false" ht="12.8" hidden="false" customHeight="false" outlineLevel="0" collapsed="false">
      <c r="A215" s="75" t="n">
        <v>3600</v>
      </c>
      <c r="B215" s="75" t="n">
        <v>34.5</v>
      </c>
      <c r="C215" s="75" t="n">
        <v>19.13</v>
      </c>
      <c r="D215" s="78" t="n">
        <v>7.39401</v>
      </c>
    </row>
    <row r="216" customFormat="false" ht="12.8" hidden="false" customHeight="false" outlineLevel="0" collapsed="false">
      <c r="A216" s="75" t="n">
        <v>3600</v>
      </c>
      <c r="B216" s="75" t="n">
        <v>3600</v>
      </c>
      <c r="C216" s="75" t="n">
        <v>247.28</v>
      </c>
      <c r="D216" s="78" t="n">
        <v>1800</v>
      </c>
    </row>
    <row r="217" customFormat="false" ht="12.8" hidden="false" customHeight="false" outlineLevel="0" collapsed="false">
      <c r="A217" s="75" t="n">
        <v>854.49</v>
      </c>
      <c r="B217" s="75" t="n">
        <v>3600</v>
      </c>
      <c r="C217" s="75" t="n">
        <v>10.71</v>
      </c>
      <c r="D217" s="78" t="n">
        <v>5.10793</v>
      </c>
    </row>
    <row r="218" customFormat="false" ht="12.8" hidden="false" customHeight="false" outlineLevel="0" collapsed="false">
      <c r="A218" s="75" t="n">
        <v>0.73</v>
      </c>
      <c r="B218" s="75" t="n">
        <v>23.51</v>
      </c>
      <c r="C218" s="75" t="n">
        <v>0.01</v>
      </c>
      <c r="D218" s="78" t="n">
        <v>24.4511</v>
      </c>
    </row>
    <row r="219" customFormat="false" ht="12.8" hidden="false" customHeight="false" outlineLevel="0" collapsed="false">
      <c r="A219" s="77" t="n">
        <v>3600</v>
      </c>
      <c r="B219" s="77" t="n">
        <v>435.94</v>
      </c>
      <c r="C219" s="77" t="n">
        <v>3600</v>
      </c>
      <c r="D219" s="78" t="n">
        <v>1802.68</v>
      </c>
    </row>
    <row r="220" customFormat="false" ht="12.8" hidden="false" customHeight="false" outlineLevel="0" collapsed="false">
      <c r="A220" s="77" t="n">
        <v>3600</v>
      </c>
      <c r="B220" s="77" t="n">
        <v>3600</v>
      </c>
      <c r="C220" s="77" t="n">
        <v>3600</v>
      </c>
      <c r="D220" s="78" t="n">
        <v>1800</v>
      </c>
    </row>
    <row r="221" customFormat="false" ht="12.8" hidden="false" customHeight="false" outlineLevel="0" collapsed="false">
      <c r="A221" s="77" t="n">
        <v>0.58</v>
      </c>
      <c r="B221" s="77" t="n">
        <v>2.77</v>
      </c>
      <c r="C221" s="77" t="n">
        <v>0.11</v>
      </c>
      <c r="D221" s="78" t="n">
        <v>23.3447</v>
      </c>
    </row>
    <row r="222" customFormat="false" ht="12.8" hidden="false" customHeight="false" outlineLevel="0" collapsed="false">
      <c r="A222" s="77" t="n">
        <v>3600</v>
      </c>
      <c r="B222" s="77" t="n">
        <v>474.05</v>
      </c>
      <c r="C222" s="77" t="n">
        <v>3600</v>
      </c>
      <c r="D222" s="78" t="n">
        <v>1800</v>
      </c>
    </row>
    <row r="223" customFormat="false" ht="12.8" hidden="false" customHeight="false" outlineLevel="0" collapsed="false">
      <c r="A223" s="77" t="n">
        <v>3600</v>
      </c>
      <c r="B223" s="77" t="n">
        <v>24.89</v>
      </c>
      <c r="C223" s="77" t="n">
        <v>2179.2</v>
      </c>
      <c r="D223" s="78" t="n">
        <v>1800.01</v>
      </c>
    </row>
    <row r="224" customFormat="false" ht="12.8" hidden="false" customHeight="false" outlineLevel="0" collapsed="false">
      <c r="A224" s="75" t="n">
        <v>88.06</v>
      </c>
      <c r="B224" s="75" t="n">
        <v>3600</v>
      </c>
      <c r="C224" s="75" t="n">
        <v>0.05</v>
      </c>
      <c r="D224" s="78" t="n">
        <v>120.167</v>
      </c>
    </row>
    <row r="225" customFormat="false" ht="12.8" hidden="false" customHeight="false" outlineLevel="0" collapsed="false">
      <c r="A225" s="75" t="n">
        <v>6.59</v>
      </c>
      <c r="B225" s="75" t="n">
        <v>11.53</v>
      </c>
      <c r="C225" s="75" t="n">
        <v>0.1</v>
      </c>
      <c r="D225" s="78" t="n">
        <v>1.22958</v>
      </c>
    </row>
    <row r="226" customFormat="false" ht="12.8" hidden="false" customHeight="false" outlineLevel="0" collapsed="false">
      <c r="A226" s="75" t="n">
        <v>12.28</v>
      </c>
      <c r="B226" s="75" t="n">
        <v>78.22</v>
      </c>
      <c r="C226" s="75" t="n">
        <v>0.89</v>
      </c>
      <c r="D226" s="78" t="n">
        <v>12.5526</v>
      </c>
    </row>
    <row r="227" customFormat="false" ht="12.8" hidden="false" customHeight="false" outlineLevel="0" collapsed="false">
      <c r="A227" s="75" t="n">
        <v>165.39</v>
      </c>
      <c r="B227" s="75" t="n">
        <v>26.81</v>
      </c>
      <c r="C227" s="75" t="n">
        <v>0.79</v>
      </c>
      <c r="D227" s="78" t="n">
        <v>2.36982</v>
      </c>
    </row>
    <row r="228" customFormat="false" ht="12.8" hidden="false" customHeight="false" outlineLevel="0" collapsed="false">
      <c r="A228" s="75" t="n">
        <v>3600</v>
      </c>
      <c r="B228" s="75" t="n">
        <v>3600</v>
      </c>
      <c r="C228" s="75" t="n">
        <v>3600</v>
      </c>
      <c r="D228" s="78" t="n">
        <v>1800.2</v>
      </c>
    </row>
    <row r="229" customFormat="false" ht="12.8" hidden="false" customHeight="false" outlineLevel="0" collapsed="false">
      <c r="A229" s="77" t="n">
        <v>0.54</v>
      </c>
      <c r="B229" s="77" t="n">
        <v>0.67</v>
      </c>
      <c r="C229" s="77" t="n">
        <v>0.02</v>
      </c>
      <c r="D229" s="78" t="n">
        <v>1800.03</v>
      </c>
    </row>
    <row r="230" customFormat="false" ht="12.8" hidden="false" customHeight="false" outlineLevel="0" collapsed="false">
      <c r="A230" s="77" t="n">
        <v>3600</v>
      </c>
      <c r="B230" s="77" t="n">
        <v>163.4</v>
      </c>
      <c r="C230" s="77" t="n">
        <v>3600</v>
      </c>
      <c r="D230" s="78" t="n">
        <v>1800.02</v>
      </c>
    </row>
    <row r="231" customFormat="false" ht="12.8" hidden="false" customHeight="false" outlineLevel="0" collapsed="false">
      <c r="A231" s="77" t="n">
        <v>485.65</v>
      </c>
      <c r="B231" s="77" t="n">
        <v>28.33</v>
      </c>
      <c r="C231" s="77" t="n">
        <v>16.66</v>
      </c>
      <c r="D231" s="78" t="n">
        <v>1800.2</v>
      </c>
    </row>
    <row r="232" customFormat="false" ht="12.8" hidden="false" customHeight="false" outlineLevel="0" collapsed="false">
      <c r="A232" s="75" t="n">
        <v>3600</v>
      </c>
      <c r="B232" s="75" t="n">
        <v>3600</v>
      </c>
      <c r="C232" s="75" t="n">
        <v>3600</v>
      </c>
      <c r="D232" s="78" t="n">
        <v>1800.06</v>
      </c>
    </row>
    <row r="233" customFormat="false" ht="12.8" hidden="false" customHeight="false" outlineLevel="0" collapsed="false">
      <c r="A233" s="75" t="n">
        <v>3600</v>
      </c>
      <c r="B233" s="75" t="n">
        <v>3600</v>
      </c>
      <c r="C233" s="75" t="n">
        <v>3600</v>
      </c>
      <c r="D233" s="78" t="n">
        <v>1800.12</v>
      </c>
    </row>
    <row r="234" customFormat="false" ht="12.8" hidden="false" customHeight="false" outlineLevel="0" collapsed="false">
      <c r="A234" s="77" t="n">
        <v>3600</v>
      </c>
      <c r="B234" s="77" t="n">
        <v>3600</v>
      </c>
      <c r="C234" s="77" t="n">
        <v>3600</v>
      </c>
      <c r="D234" s="78" t="n">
        <v>1800.18</v>
      </c>
    </row>
    <row r="235" customFormat="false" ht="12.8" hidden="false" customHeight="false" outlineLevel="0" collapsed="false">
      <c r="A235" s="75" t="n">
        <v>7.6</v>
      </c>
      <c r="B235" s="75" t="n">
        <v>53.86</v>
      </c>
      <c r="C235" s="75" t="n">
        <v>0.03</v>
      </c>
      <c r="D235" s="78" t="n">
        <v>7.98883</v>
      </c>
    </row>
    <row r="236" customFormat="false" ht="12.8" hidden="false" customHeight="false" outlineLevel="0" collapsed="false">
      <c r="A236" s="77" t="n">
        <v>9.6</v>
      </c>
      <c r="B236" s="77" t="n">
        <v>13.91</v>
      </c>
      <c r="C236" s="77" t="n">
        <v>29.6</v>
      </c>
      <c r="D236" s="78" t="n">
        <v>101.648</v>
      </c>
    </row>
    <row r="237" customFormat="false" ht="12.8" hidden="false" customHeight="false" outlineLevel="0" collapsed="false">
      <c r="A237" s="75" t="n">
        <v>3600</v>
      </c>
      <c r="B237" s="75" t="n">
        <v>82.9</v>
      </c>
      <c r="C237" s="75" t="n">
        <v>3600</v>
      </c>
      <c r="D237" s="78" t="n">
        <v>1800.17</v>
      </c>
    </row>
    <row r="238" customFormat="false" ht="12.8" hidden="false" customHeight="false" outlineLevel="0" collapsed="false">
      <c r="A238" s="75" t="n">
        <v>0.36</v>
      </c>
      <c r="B238" s="75" t="n">
        <v>3.62</v>
      </c>
      <c r="C238" s="75" t="n">
        <v>0</v>
      </c>
      <c r="D238" s="78" t="n">
        <v>1.01158</v>
      </c>
    </row>
    <row r="239" customFormat="false" ht="12.8" hidden="false" customHeight="false" outlineLevel="0" collapsed="false">
      <c r="A239" s="75" t="n">
        <v>0.06</v>
      </c>
      <c r="B239" s="75" t="n">
        <v>0.11</v>
      </c>
      <c r="C239" s="75" t="n">
        <v>0</v>
      </c>
      <c r="D239" s="78" t="n">
        <v>0.08175</v>
      </c>
    </row>
    <row r="240" customFormat="false" ht="12.8" hidden="false" customHeight="false" outlineLevel="0" collapsed="false">
      <c r="A240" s="77" t="n">
        <v>5.48</v>
      </c>
      <c r="B240" s="77" t="n">
        <v>3600</v>
      </c>
      <c r="C240" s="77" t="n">
        <v>3.49</v>
      </c>
      <c r="D240" s="78" t="n">
        <v>1800</v>
      </c>
    </row>
    <row r="241" customFormat="false" ht="12.8" hidden="false" customHeight="false" outlineLevel="0" collapsed="false">
      <c r="A241" s="77" t="n">
        <v>0.51</v>
      </c>
      <c r="B241" s="77" t="n">
        <v>0.58</v>
      </c>
      <c r="C241" s="77" t="n">
        <v>0.99</v>
      </c>
      <c r="D241" s="78" t="n">
        <v>1800</v>
      </c>
    </row>
    <row r="242" customFormat="false" ht="12.8" hidden="false" customHeight="false" outlineLevel="0" collapsed="false">
      <c r="A242" s="77" t="n">
        <v>0.44</v>
      </c>
      <c r="B242" s="77" t="n">
        <v>0.35</v>
      </c>
      <c r="C242" s="77" t="n">
        <v>3.17</v>
      </c>
      <c r="D242" s="78" t="n">
        <v>1800.02</v>
      </c>
    </row>
    <row r="243" customFormat="false" ht="12.8" hidden="false" customHeight="false" outlineLevel="0" collapsed="false">
      <c r="A243" s="77" t="n">
        <v>6.56</v>
      </c>
      <c r="B243" s="77" t="n">
        <v>3600</v>
      </c>
      <c r="C243" s="77" t="n">
        <v>10.24</v>
      </c>
      <c r="D243" s="78" t="n">
        <v>1800.05</v>
      </c>
    </row>
    <row r="244" customFormat="false" ht="12.8" hidden="false" customHeight="false" outlineLevel="0" collapsed="false">
      <c r="A244" s="77" t="n">
        <v>0.69</v>
      </c>
      <c r="B244" s="77" t="n">
        <v>3600</v>
      </c>
      <c r="C244" s="77" t="n">
        <v>3.16</v>
      </c>
      <c r="D244" s="78" t="n">
        <v>1800.15</v>
      </c>
    </row>
    <row r="245" customFormat="false" ht="12.8" hidden="false" customHeight="false" outlineLevel="0" collapsed="false">
      <c r="A245" s="77" t="n">
        <v>3600</v>
      </c>
      <c r="B245" s="77" t="n">
        <v>3600</v>
      </c>
      <c r="C245" s="77" t="n">
        <v>3600</v>
      </c>
      <c r="D245" s="78" t="n">
        <v>1800.06</v>
      </c>
    </row>
    <row r="246" customFormat="false" ht="12.8" hidden="false" customHeight="false" outlineLevel="0" collapsed="false">
      <c r="A246" s="77" t="n">
        <v>3600</v>
      </c>
      <c r="B246" s="77" t="n">
        <v>3600</v>
      </c>
      <c r="C246" s="77" t="n">
        <v>3600</v>
      </c>
      <c r="D246" s="78" t="n">
        <v>1800.01</v>
      </c>
    </row>
    <row r="247" customFormat="false" ht="12.8" hidden="false" customHeight="false" outlineLevel="0" collapsed="false">
      <c r="A247" s="77" t="n">
        <v>3600</v>
      </c>
      <c r="B247" s="77" t="n">
        <v>3600</v>
      </c>
      <c r="C247" s="77" t="n">
        <v>3600</v>
      </c>
      <c r="D247" s="78" t="n">
        <v>1800</v>
      </c>
    </row>
    <row r="248" customFormat="false" ht="12.8" hidden="false" customHeight="false" outlineLevel="0" collapsed="false">
      <c r="A248" s="77" t="n">
        <v>3600</v>
      </c>
      <c r="B248" s="77" t="n">
        <v>3600</v>
      </c>
      <c r="C248" s="77" t="n">
        <v>3600</v>
      </c>
      <c r="D248" s="78" t="n">
        <v>1800.01</v>
      </c>
    </row>
    <row r="249" customFormat="false" ht="12.8" hidden="false" customHeight="false" outlineLevel="0" collapsed="false">
      <c r="A249" s="77" t="n">
        <v>3600</v>
      </c>
      <c r="B249" s="77" t="n">
        <v>3600</v>
      </c>
      <c r="C249" s="77" t="n">
        <v>3600</v>
      </c>
      <c r="D249" s="78" t="n">
        <v>1800</v>
      </c>
    </row>
    <row r="250" customFormat="false" ht="12.8" hidden="false" customHeight="false" outlineLevel="0" collapsed="false">
      <c r="A250" s="77" t="n">
        <v>3600</v>
      </c>
      <c r="B250" s="77" t="n">
        <v>3600</v>
      </c>
      <c r="C250" s="77" t="n">
        <v>3600</v>
      </c>
      <c r="D250" s="78" t="n">
        <v>1800</v>
      </c>
    </row>
    <row r="251" customFormat="false" ht="12.8" hidden="false" customHeight="false" outlineLevel="0" collapsed="false">
      <c r="A251" s="77" t="n">
        <v>3600</v>
      </c>
      <c r="B251" s="77" t="n">
        <v>34.33</v>
      </c>
      <c r="C251" s="77" t="n">
        <v>431.59</v>
      </c>
      <c r="D251" s="78" t="n">
        <v>105.092</v>
      </c>
    </row>
    <row r="252" customFormat="false" ht="12.8" hidden="false" customHeight="false" outlineLevel="0" collapsed="false">
      <c r="A252" s="77" t="n">
        <v>3600</v>
      </c>
      <c r="B252" s="77" t="n">
        <v>47</v>
      </c>
      <c r="C252" s="77" t="n">
        <v>3600</v>
      </c>
      <c r="D252" s="78" t="n">
        <v>1800.15</v>
      </c>
    </row>
    <row r="253" customFormat="false" ht="12.8" hidden="false" customHeight="false" outlineLevel="0" collapsed="false">
      <c r="A253" s="77" t="n">
        <v>4.81</v>
      </c>
      <c r="B253" s="77" t="n">
        <v>3600</v>
      </c>
      <c r="C253" s="77" t="n">
        <v>1.5</v>
      </c>
      <c r="D253" s="78" t="n">
        <v>1800.04</v>
      </c>
    </row>
    <row r="254" customFormat="false" ht="12.8" hidden="false" customHeight="false" outlineLevel="0" collapsed="false">
      <c r="A254" s="77" t="n">
        <v>0.26</v>
      </c>
      <c r="B254" s="77" t="n">
        <v>0.15</v>
      </c>
      <c r="C254" s="77" t="n">
        <v>0.01</v>
      </c>
      <c r="D254" s="78" t="n">
        <v>484.783</v>
      </c>
    </row>
    <row r="255" customFormat="false" ht="12.8" hidden="false" customHeight="false" outlineLevel="0" collapsed="false">
      <c r="A255" s="75" t="n">
        <v>0.45</v>
      </c>
      <c r="B255" s="75" t="n">
        <v>2.14</v>
      </c>
      <c r="C255" s="75" t="n">
        <v>0</v>
      </c>
      <c r="D255" s="78" t="n">
        <v>1.47607</v>
      </c>
    </row>
    <row r="256" customFormat="false" ht="12.8" hidden="false" customHeight="false" outlineLevel="0" collapsed="false">
      <c r="A256" s="75" t="n">
        <v>3600</v>
      </c>
      <c r="B256" s="75" t="n">
        <v>35.09</v>
      </c>
      <c r="C256" s="75" t="n">
        <v>1.69</v>
      </c>
      <c r="D256" s="78" t="n">
        <v>4.2252</v>
      </c>
    </row>
    <row r="257" customFormat="false" ht="12.8" hidden="false" customHeight="false" outlineLevel="0" collapsed="false">
      <c r="A257" s="75" t="n">
        <v>3600</v>
      </c>
      <c r="B257" s="75" t="n">
        <v>3600</v>
      </c>
      <c r="C257" s="75" t="n">
        <v>3600</v>
      </c>
      <c r="D257" s="78" t="n">
        <v>1800.08</v>
      </c>
    </row>
    <row r="258" customFormat="false" ht="12.8" hidden="false" customHeight="false" outlineLevel="0" collapsed="false">
      <c r="A258" s="75" t="n">
        <v>3600</v>
      </c>
      <c r="B258" s="75" t="n">
        <v>28.3</v>
      </c>
      <c r="C258" s="75" t="n">
        <v>17.58</v>
      </c>
      <c r="D258" s="78" t="n">
        <v>5.80663</v>
      </c>
    </row>
    <row r="259" customFormat="false" ht="12.8" hidden="false" customHeight="false" outlineLevel="0" collapsed="false">
      <c r="A259" s="75" t="n">
        <v>3600</v>
      </c>
      <c r="B259" s="75" t="n">
        <v>29.64</v>
      </c>
      <c r="C259" s="75" t="n">
        <v>5.71</v>
      </c>
      <c r="D259" s="78" t="n">
        <v>5.16425</v>
      </c>
    </row>
    <row r="260" customFormat="false" ht="12.8" hidden="false" customHeight="false" outlineLevel="0" collapsed="false">
      <c r="A260" s="75" t="n">
        <v>3600</v>
      </c>
      <c r="B260" s="75" t="n">
        <v>33.55</v>
      </c>
      <c r="C260" s="75" t="n">
        <v>5.83</v>
      </c>
      <c r="D260" s="78" t="n">
        <v>3.72098</v>
      </c>
    </row>
    <row r="261" customFormat="false" ht="12.8" hidden="false" customHeight="false" outlineLevel="0" collapsed="false">
      <c r="A261" s="75" t="n">
        <v>3600</v>
      </c>
      <c r="B261" s="75" t="n">
        <v>28.67</v>
      </c>
      <c r="C261" s="75" t="n">
        <v>5.28</v>
      </c>
      <c r="D261" s="78" t="n">
        <v>2.25724</v>
      </c>
    </row>
    <row r="262" customFormat="false" ht="12.8" hidden="false" customHeight="false" outlineLevel="0" collapsed="false">
      <c r="A262" s="77" t="n">
        <v>0.01</v>
      </c>
      <c r="B262" s="77" t="n">
        <v>0.01</v>
      </c>
      <c r="C262" s="77" t="n">
        <v>0.01</v>
      </c>
      <c r="D262" s="77" t="n">
        <v>0.01</v>
      </c>
    </row>
    <row r="263" customFormat="false" ht="12.8" hidden="false" customHeight="false" outlineLevel="0" collapsed="false">
      <c r="A263" s="75" t="n">
        <v>230.54</v>
      </c>
      <c r="B263" s="75" t="n">
        <v>3600</v>
      </c>
      <c r="C263" s="75" t="n">
        <v>0.13</v>
      </c>
      <c r="D263" s="78" t="n">
        <v>1800</v>
      </c>
    </row>
    <row r="264" customFormat="false" ht="12.8" hidden="false" customHeight="false" outlineLevel="0" collapsed="false">
      <c r="A264" s="75" t="n">
        <v>197.86</v>
      </c>
      <c r="B264" s="75" t="n">
        <v>3600</v>
      </c>
      <c r="C264" s="75" t="n">
        <v>37.05</v>
      </c>
      <c r="D264" s="78" t="n">
        <v>1800.07</v>
      </c>
    </row>
    <row r="265" customFormat="false" ht="12.8" hidden="false" customHeight="false" outlineLevel="0" collapsed="false">
      <c r="A265" s="75" t="n">
        <v>176.49</v>
      </c>
      <c r="B265" s="75" t="n">
        <v>3600</v>
      </c>
      <c r="C265" s="75" t="n">
        <v>0.16</v>
      </c>
      <c r="D265" s="78" t="n">
        <v>1800.12</v>
      </c>
    </row>
    <row r="266" customFormat="false" ht="12.8" hidden="false" customHeight="false" outlineLevel="0" collapsed="false">
      <c r="A266" s="75" t="n">
        <v>222.53</v>
      </c>
      <c r="B266" s="75" t="n">
        <v>90.83</v>
      </c>
      <c r="C266" s="75" t="n">
        <v>0.41</v>
      </c>
      <c r="D266" s="78" t="n">
        <v>5.67913</v>
      </c>
    </row>
    <row r="267" customFormat="false" ht="12.8" hidden="false" customHeight="false" outlineLevel="0" collapsed="false">
      <c r="A267" s="75" t="n">
        <v>3600</v>
      </c>
      <c r="B267" s="75" t="n">
        <v>3600</v>
      </c>
      <c r="C267" s="75" t="n">
        <v>16.34</v>
      </c>
      <c r="D267" s="78" t="n">
        <v>1800.06</v>
      </c>
    </row>
    <row r="268" customFormat="false" ht="12.8" hidden="false" customHeight="false" outlineLevel="0" collapsed="false">
      <c r="A268" s="75" t="n">
        <v>3600</v>
      </c>
      <c r="B268" s="75" t="n">
        <v>3600</v>
      </c>
      <c r="C268" s="75" t="n">
        <v>1416.07</v>
      </c>
      <c r="D268" s="78" t="n">
        <v>1800.05</v>
      </c>
    </row>
    <row r="269" customFormat="false" ht="12.8" hidden="false" customHeight="false" outlineLevel="0" collapsed="false">
      <c r="A269" s="75" t="n">
        <v>3600</v>
      </c>
      <c r="B269" s="75" t="n">
        <v>50.71</v>
      </c>
      <c r="C269" s="75" t="n">
        <v>237.7</v>
      </c>
      <c r="D269" s="78" t="n">
        <v>1060.71</v>
      </c>
    </row>
    <row r="270" customFormat="false" ht="12.8" hidden="false" customHeight="false" outlineLevel="0" collapsed="false">
      <c r="A270" s="75" t="n">
        <v>203.76</v>
      </c>
      <c r="B270" s="75" t="n">
        <v>30.7</v>
      </c>
      <c r="C270" s="75" t="n">
        <v>0</v>
      </c>
      <c r="D270" s="78" t="n">
        <v>1.14279</v>
      </c>
    </row>
    <row r="271" customFormat="false" ht="12.8" hidden="false" customHeight="false" outlineLevel="0" collapsed="false">
      <c r="A271" s="77" t="n">
        <v>3600</v>
      </c>
      <c r="B271" s="77" t="n">
        <v>3600</v>
      </c>
      <c r="C271" s="77" t="n">
        <v>3600</v>
      </c>
      <c r="D271" s="78" t="n">
        <v>1800.25</v>
      </c>
    </row>
    <row r="272" customFormat="false" ht="12.8" hidden="false" customHeight="false" outlineLevel="0" collapsed="false">
      <c r="A272" s="77" t="n">
        <v>3600</v>
      </c>
      <c r="B272" s="77" t="n">
        <v>39.58</v>
      </c>
      <c r="C272" s="77" t="n">
        <v>3600</v>
      </c>
      <c r="D272" s="78" t="n">
        <v>1800</v>
      </c>
    </row>
    <row r="273" customFormat="false" ht="12.8" hidden="false" customHeight="false" outlineLevel="0" collapsed="false">
      <c r="A273" s="75" t="n">
        <v>3600</v>
      </c>
      <c r="B273" s="75" t="n">
        <v>3600</v>
      </c>
      <c r="C273" s="75" t="n">
        <v>5.78</v>
      </c>
      <c r="D273" s="78" t="n">
        <v>1800.02</v>
      </c>
    </row>
    <row r="274" customFormat="false" ht="12.8" hidden="false" customHeight="false" outlineLevel="0" collapsed="false">
      <c r="A274" s="75" t="n">
        <v>3600</v>
      </c>
      <c r="B274" s="75" t="n">
        <v>55.01</v>
      </c>
      <c r="C274" s="75" t="n">
        <v>4.99</v>
      </c>
      <c r="D274" s="78" t="n">
        <v>9.30066</v>
      </c>
    </row>
    <row r="275" customFormat="false" ht="12.8" hidden="false" customHeight="false" outlineLevel="0" collapsed="false">
      <c r="A275" s="75" t="n">
        <v>560.95</v>
      </c>
      <c r="B275" s="75" t="n">
        <v>20.38</v>
      </c>
      <c r="C275" s="75" t="n">
        <v>0.47</v>
      </c>
      <c r="D275" s="78" t="n">
        <v>3.48195</v>
      </c>
    </row>
    <row r="276" customFormat="false" ht="12.8" hidden="false" customHeight="false" outlineLevel="0" collapsed="false">
      <c r="A276" s="75" t="n">
        <v>3600</v>
      </c>
      <c r="B276" s="75" t="n">
        <v>3600</v>
      </c>
      <c r="C276" s="75" t="n">
        <v>1159.77</v>
      </c>
      <c r="D276" s="78" t="n">
        <v>91.9409</v>
      </c>
    </row>
    <row r="277" customFormat="false" ht="12.8" hidden="false" customHeight="false" outlineLevel="0" collapsed="false">
      <c r="A277" s="75" t="n">
        <v>3600</v>
      </c>
      <c r="B277" s="75" t="n">
        <v>579.2</v>
      </c>
      <c r="C277" s="75" t="n">
        <v>23</v>
      </c>
      <c r="D277" s="78" t="n">
        <v>1800.01</v>
      </c>
    </row>
    <row r="278" customFormat="false" ht="12.8" hidden="false" customHeight="false" outlineLevel="0" collapsed="false">
      <c r="A278" s="75" t="n">
        <v>3600</v>
      </c>
      <c r="B278" s="75" t="n">
        <v>24.35</v>
      </c>
      <c r="C278" s="75" t="n">
        <v>2.76</v>
      </c>
      <c r="D278" s="78" t="n">
        <v>1.35576</v>
      </c>
    </row>
    <row r="279" customFormat="false" ht="12.8" hidden="false" customHeight="false" outlineLevel="0" collapsed="false">
      <c r="A279" s="75" t="n">
        <v>3600</v>
      </c>
      <c r="B279" s="75" t="n">
        <v>3600</v>
      </c>
      <c r="C279" s="75" t="n">
        <v>113.36</v>
      </c>
      <c r="D279" s="78" t="n">
        <v>1800.09</v>
      </c>
    </row>
    <row r="280" customFormat="false" ht="12.8" hidden="false" customHeight="false" outlineLevel="0" collapsed="false">
      <c r="A280" s="75" t="n">
        <v>3600</v>
      </c>
      <c r="B280" s="75" t="n">
        <v>34.33</v>
      </c>
      <c r="C280" s="75" t="n">
        <v>15.83</v>
      </c>
      <c r="D280" s="78" t="n">
        <v>3.36808</v>
      </c>
    </row>
    <row r="281" customFormat="false" ht="12.8" hidden="false" customHeight="false" outlineLevel="0" collapsed="false">
      <c r="A281" s="75" t="n">
        <v>3600</v>
      </c>
      <c r="B281" s="75" t="n">
        <v>3600</v>
      </c>
      <c r="C281" s="75" t="n">
        <v>72.32</v>
      </c>
      <c r="D281" s="78" t="n">
        <v>1800</v>
      </c>
    </row>
    <row r="282" customFormat="false" ht="12.8" hidden="false" customHeight="false" outlineLevel="0" collapsed="false">
      <c r="A282" s="75" t="n">
        <v>3600</v>
      </c>
      <c r="B282" s="75" t="n">
        <v>1777.17</v>
      </c>
      <c r="C282" s="75" t="n">
        <v>18.32</v>
      </c>
      <c r="D282" s="78" t="n">
        <v>13.3293</v>
      </c>
    </row>
    <row r="283" customFormat="false" ht="12.8" hidden="false" customHeight="false" outlineLevel="0" collapsed="false">
      <c r="A283" s="75" t="n">
        <v>1.55</v>
      </c>
      <c r="B283" s="75" t="n">
        <v>60.09</v>
      </c>
      <c r="C283" s="75" t="n">
        <v>0.01</v>
      </c>
      <c r="D283" s="78" t="n">
        <v>85.5055</v>
      </c>
    </row>
    <row r="284" customFormat="false" ht="12.8" hidden="false" customHeight="false" outlineLevel="0" collapsed="false">
      <c r="A284" s="77" t="n">
        <v>3600</v>
      </c>
      <c r="B284" s="77" t="n">
        <v>263.85</v>
      </c>
      <c r="C284" s="77" t="n">
        <v>3600</v>
      </c>
      <c r="D284" s="78" t="n">
        <v>1800.03</v>
      </c>
    </row>
    <row r="285" customFormat="false" ht="12.8" hidden="false" customHeight="false" outlineLevel="0" collapsed="false">
      <c r="A285" s="77" t="n">
        <v>3600</v>
      </c>
      <c r="B285" s="77" t="n">
        <v>3600</v>
      </c>
      <c r="C285" s="77" t="n">
        <v>3600</v>
      </c>
      <c r="D285" s="78" t="n">
        <v>1800.05</v>
      </c>
    </row>
    <row r="286" customFormat="false" ht="12.8" hidden="false" customHeight="false" outlineLevel="0" collapsed="false">
      <c r="A286" s="77" t="n">
        <v>3600</v>
      </c>
      <c r="B286" s="77" t="n">
        <v>230.46</v>
      </c>
      <c r="C286" s="77" t="n">
        <v>3600</v>
      </c>
      <c r="D286" s="78" t="n">
        <v>1800.17</v>
      </c>
    </row>
    <row r="287" customFormat="false" ht="12.8" hidden="false" customHeight="false" outlineLevel="0" collapsed="false">
      <c r="A287" s="75" t="n">
        <v>3600</v>
      </c>
      <c r="B287" s="75" t="n">
        <v>3600</v>
      </c>
      <c r="C287" s="75" t="n">
        <v>11.17</v>
      </c>
      <c r="D287" s="78" t="n">
        <v>1800.04</v>
      </c>
    </row>
    <row r="288" customFormat="false" ht="12.8" hidden="false" customHeight="false" outlineLevel="0" collapsed="false">
      <c r="A288" s="75" t="n">
        <v>753.15</v>
      </c>
      <c r="B288" s="75" t="n">
        <v>27.56</v>
      </c>
      <c r="C288" s="75" t="n">
        <v>1.16</v>
      </c>
      <c r="D288" s="78" t="n">
        <v>6.05345</v>
      </c>
    </row>
    <row r="289" customFormat="false" ht="12.8" hidden="false" customHeight="false" outlineLevel="0" collapsed="false">
      <c r="A289" s="75" t="n">
        <v>3600</v>
      </c>
      <c r="B289" s="75" t="n">
        <v>26.44</v>
      </c>
      <c r="C289" s="75" t="n">
        <v>2.56</v>
      </c>
      <c r="D289" s="78" t="n">
        <v>2.79054</v>
      </c>
    </row>
    <row r="290" customFormat="false" ht="12.8" hidden="false" customHeight="false" outlineLevel="0" collapsed="false">
      <c r="A290" s="75" t="n">
        <v>3600</v>
      </c>
      <c r="B290" s="75" t="n">
        <v>3600</v>
      </c>
      <c r="C290" s="75" t="n">
        <v>3600</v>
      </c>
      <c r="D290" s="78" t="n">
        <v>1800.13</v>
      </c>
    </row>
    <row r="291" customFormat="false" ht="12.8" hidden="false" customHeight="false" outlineLevel="0" collapsed="false">
      <c r="A291" s="77" t="n">
        <v>3600</v>
      </c>
      <c r="B291" s="77" t="n">
        <v>436.94</v>
      </c>
      <c r="C291" s="77" t="n">
        <v>3600</v>
      </c>
      <c r="D291" s="78" t="n">
        <v>1800.01</v>
      </c>
    </row>
    <row r="292" customFormat="false" ht="12.8" hidden="false" customHeight="false" outlineLevel="0" collapsed="false">
      <c r="A292" s="75" t="n">
        <v>3600</v>
      </c>
      <c r="B292" s="75" t="n">
        <v>3600</v>
      </c>
      <c r="C292" s="75" t="n">
        <v>3600</v>
      </c>
      <c r="D292" s="78" t="n">
        <v>1800.01</v>
      </c>
    </row>
    <row r="293" customFormat="false" ht="12.8" hidden="false" customHeight="false" outlineLevel="0" collapsed="false">
      <c r="A293" s="75" t="n">
        <v>3600</v>
      </c>
      <c r="B293" s="75" t="n">
        <v>3600</v>
      </c>
      <c r="C293" s="75" t="n">
        <v>3600</v>
      </c>
      <c r="D293" s="78" t="n">
        <v>1800.13</v>
      </c>
    </row>
    <row r="294" customFormat="false" ht="12.8" hidden="false" customHeight="false" outlineLevel="0" collapsed="false">
      <c r="A294" s="77" t="n">
        <v>3600</v>
      </c>
      <c r="B294" s="77" t="n">
        <v>3600</v>
      </c>
      <c r="C294" s="77" t="n">
        <v>3600</v>
      </c>
      <c r="D294" s="78" t="n">
        <v>1800.16</v>
      </c>
    </row>
    <row r="295" customFormat="false" ht="12.8" hidden="false" customHeight="false" outlineLevel="0" collapsed="false">
      <c r="A295" s="75" t="n">
        <v>5.31</v>
      </c>
      <c r="B295" s="75" t="n">
        <v>10.64</v>
      </c>
      <c r="C295" s="75" t="n">
        <v>0.08</v>
      </c>
      <c r="D295" s="78" t="n">
        <v>0.84288</v>
      </c>
    </row>
    <row r="296" customFormat="false" ht="12.8" hidden="false" customHeight="false" outlineLevel="0" collapsed="false">
      <c r="A296" s="77" t="n">
        <v>0.08</v>
      </c>
      <c r="B296" s="77" t="n">
        <v>0.07</v>
      </c>
      <c r="C296" s="77" t="n">
        <v>0.01</v>
      </c>
      <c r="D296" s="78" t="n">
        <v>84.4181</v>
      </c>
    </row>
    <row r="297" customFormat="false" ht="12.8" hidden="false" customHeight="false" outlineLevel="0" collapsed="false">
      <c r="A297" s="75" t="n">
        <v>3600</v>
      </c>
      <c r="B297" s="75" t="n">
        <v>3600</v>
      </c>
      <c r="C297" s="75" t="n">
        <v>3600</v>
      </c>
      <c r="D297" s="78" t="n">
        <v>1800</v>
      </c>
    </row>
    <row r="298" customFormat="false" ht="12.8" hidden="false" customHeight="false" outlineLevel="0" collapsed="false">
      <c r="A298" s="75" t="n">
        <v>4.56</v>
      </c>
      <c r="B298" s="75" t="n">
        <v>7.15</v>
      </c>
      <c r="C298" s="75" t="n">
        <v>0.01</v>
      </c>
      <c r="D298" s="78" t="n">
        <v>0.623766</v>
      </c>
    </row>
    <row r="299" customFormat="false" ht="12.8" hidden="false" customHeight="false" outlineLevel="0" collapsed="false">
      <c r="A299" s="75" t="n">
        <v>0.03</v>
      </c>
      <c r="B299" s="75" t="n">
        <v>0.08</v>
      </c>
      <c r="C299" s="75" t="n">
        <v>0.01</v>
      </c>
      <c r="D299" s="78" t="n">
        <v>0.084924</v>
      </c>
    </row>
    <row r="300" customFormat="false" ht="12.8" hidden="false" customHeight="false" outlineLevel="0" collapsed="false">
      <c r="A300" s="77" t="n">
        <v>5.78</v>
      </c>
      <c r="B300" s="77" t="n">
        <v>3600</v>
      </c>
      <c r="C300" s="77" t="n">
        <v>7.77</v>
      </c>
      <c r="D300" s="78" t="n">
        <v>1800.02</v>
      </c>
    </row>
    <row r="301" customFormat="false" ht="12.8" hidden="false" customHeight="false" outlineLevel="0" collapsed="false">
      <c r="A301" s="77" t="n">
        <v>7.43</v>
      </c>
      <c r="B301" s="77" t="n">
        <v>3600</v>
      </c>
      <c r="C301" s="77" t="n">
        <v>7.18</v>
      </c>
      <c r="D301" s="78" t="n">
        <v>1800</v>
      </c>
    </row>
    <row r="302" customFormat="false" ht="12.8" hidden="false" customHeight="false" outlineLevel="0" collapsed="false">
      <c r="A302" s="77" t="n">
        <v>12.04</v>
      </c>
      <c r="B302" s="77" t="n">
        <v>3600</v>
      </c>
      <c r="C302" s="77" t="n">
        <v>4.71</v>
      </c>
      <c r="D302" s="78" t="n">
        <v>1800.03</v>
      </c>
    </row>
    <row r="303" customFormat="false" ht="12.8" hidden="false" customHeight="false" outlineLevel="0" collapsed="false">
      <c r="A303" s="77" t="n">
        <v>3600</v>
      </c>
      <c r="B303" s="77" t="n">
        <v>3600</v>
      </c>
      <c r="C303" s="77" t="n">
        <v>3600</v>
      </c>
      <c r="D303" s="78" t="n">
        <v>1800.01</v>
      </c>
    </row>
    <row r="304" customFormat="false" ht="12.8" hidden="false" customHeight="false" outlineLevel="0" collapsed="false">
      <c r="A304" s="77" t="n">
        <v>3600</v>
      </c>
      <c r="B304" s="77" t="n">
        <v>38.72</v>
      </c>
      <c r="C304" s="77" t="n">
        <v>34.61</v>
      </c>
      <c r="D304" s="78" t="n">
        <v>1800</v>
      </c>
    </row>
    <row r="305" customFormat="false" ht="12.8" hidden="false" customHeight="false" outlineLevel="0" collapsed="false">
      <c r="A305" s="77" t="n">
        <v>3600</v>
      </c>
      <c r="B305" s="77" t="n">
        <v>39.01</v>
      </c>
      <c r="C305" s="77" t="n">
        <v>3600</v>
      </c>
      <c r="D305" s="78" t="n">
        <v>1800.18</v>
      </c>
    </row>
    <row r="306" customFormat="false" ht="12.8" hidden="false" customHeight="false" outlineLevel="0" collapsed="false">
      <c r="A306" s="77" t="n">
        <v>3600</v>
      </c>
      <c r="B306" s="77" t="n">
        <v>41.12</v>
      </c>
      <c r="C306" s="77" t="n">
        <v>3600</v>
      </c>
      <c r="D306" s="78" t="n">
        <v>1800.13</v>
      </c>
    </row>
    <row r="307" customFormat="false" ht="12.8" hidden="false" customHeight="false" outlineLevel="0" collapsed="false">
      <c r="A307" s="77" t="n">
        <v>2.75</v>
      </c>
      <c r="B307" s="77" t="n">
        <v>1538.51</v>
      </c>
      <c r="C307" s="77" t="n">
        <v>1.94</v>
      </c>
      <c r="D307" s="78" t="n">
        <v>1800</v>
      </c>
    </row>
    <row r="308" customFormat="false" ht="12.8" hidden="false" customHeight="false" outlineLevel="0" collapsed="false">
      <c r="A308" s="75" t="n">
        <v>6.47</v>
      </c>
      <c r="B308" s="75" t="n">
        <v>8.53</v>
      </c>
      <c r="C308" s="75" t="n">
        <v>0.02</v>
      </c>
      <c r="D308" s="78" t="n">
        <v>4.64888</v>
      </c>
    </row>
    <row r="309" customFormat="false" ht="12.8" hidden="false" customHeight="false" outlineLevel="0" collapsed="false">
      <c r="A309" s="75" t="n">
        <v>3600</v>
      </c>
      <c r="B309" s="75" t="n">
        <v>36.08</v>
      </c>
      <c r="C309" s="75" t="n">
        <v>9.65</v>
      </c>
      <c r="D309" s="78" t="n">
        <v>46.2818</v>
      </c>
    </row>
    <row r="310" customFormat="false" ht="12.8" hidden="false" customHeight="false" outlineLevel="0" collapsed="false">
      <c r="A310" s="75" t="n">
        <v>3600</v>
      </c>
      <c r="B310" s="75" t="n">
        <v>29.29</v>
      </c>
      <c r="C310" s="75" t="n">
        <v>23.91</v>
      </c>
      <c r="D310" s="78" t="n">
        <v>5.51747</v>
      </c>
    </row>
    <row r="311" customFormat="false" ht="12.8" hidden="false" customHeight="false" outlineLevel="0" collapsed="false">
      <c r="A311" s="75" t="n">
        <v>3600</v>
      </c>
      <c r="B311" s="75" t="n">
        <v>35.81</v>
      </c>
      <c r="C311" s="75" t="n">
        <v>17.77</v>
      </c>
      <c r="D311" s="78" t="n">
        <v>7.03336</v>
      </c>
    </row>
    <row r="312" customFormat="false" ht="12.8" hidden="false" customHeight="false" outlineLevel="0" collapsed="false">
      <c r="A312" s="75" t="n">
        <v>3600</v>
      </c>
      <c r="B312" s="75" t="n">
        <v>36.35</v>
      </c>
      <c r="C312" s="75" t="n">
        <v>11.45</v>
      </c>
      <c r="D312" s="78" t="n">
        <v>5.21164</v>
      </c>
    </row>
    <row r="313" customFormat="false" ht="12.8" hidden="false" customHeight="false" outlineLevel="0" collapsed="false">
      <c r="A313" s="75" t="n">
        <v>3600</v>
      </c>
      <c r="B313" s="75" t="n">
        <v>30.66</v>
      </c>
      <c r="C313" s="75" t="n">
        <v>0.96</v>
      </c>
      <c r="D313" s="78" t="n">
        <v>3.29849</v>
      </c>
    </row>
    <row r="314" customFormat="false" ht="12.8" hidden="false" customHeight="false" outlineLevel="0" collapsed="false">
      <c r="A314" s="75" t="n">
        <v>382.63</v>
      </c>
      <c r="B314" s="75" t="n">
        <v>3600</v>
      </c>
      <c r="C314" s="75" t="n">
        <v>0.14</v>
      </c>
      <c r="D314" s="78" t="n">
        <v>1800</v>
      </c>
    </row>
    <row r="315" customFormat="false" ht="12.8" hidden="false" customHeight="false" outlineLevel="0" collapsed="false">
      <c r="A315" s="75" t="n">
        <v>594.89</v>
      </c>
      <c r="B315" s="75" t="n">
        <v>3600</v>
      </c>
      <c r="C315" s="75" t="n">
        <v>0.33</v>
      </c>
      <c r="D315" s="78" t="n">
        <v>1800</v>
      </c>
    </row>
    <row r="316" customFormat="false" ht="12.8" hidden="false" customHeight="false" outlineLevel="0" collapsed="false">
      <c r="A316" s="75" t="n">
        <v>186.83</v>
      </c>
      <c r="B316" s="75" t="n">
        <v>3600</v>
      </c>
      <c r="C316" s="75" t="n">
        <v>0.34</v>
      </c>
      <c r="D316" s="78" t="n">
        <v>1800</v>
      </c>
    </row>
    <row r="317" customFormat="false" ht="12.8" hidden="false" customHeight="false" outlineLevel="0" collapsed="false">
      <c r="A317" s="75" t="n">
        <v>559.76</v>
      </c>
      <c r="B317" s="75" t="n">
        <v>3600</v>
      </c>
      <c r="C317" s="75" t="n">
        <v>0.44</v>
      </c>
      <c r="D317" s="78" t="n">
        <v>1800.09</v>
      </c>
    </row>
    <row r="318" customFormat="false" ht="12.8" hidden="false" customHeight="false" outlineLevel="0" collapsed="false">
      <c r="A318" s="75" t="n">
        <v>625.69</v>
      </c>
      <c r="B318" s="75" t="n">
        <v>22.24</v>
      </c>
      <c r="C318" s="75" t="n">
        <v>0.24</v>
      </c>
      <c r="D318" s="78" t="n">
        <v>5.71168</v>
      </c>
    </row>
    <row r="319" customFormat="false" ht="12.8" hidden="false" customHeight="false" outlineLevel="0" collapsed="false">
      <c r="A319" s="75" t="n">
        <v>3600</v>
      </c>
      <c r="B319" s="75" t="n">
        <v>3600</v>
      </c>
      <c r="C319" s="75" t="n">
        <v>19.99</v>
      </c>
      <c r="D319" s="78" t="n">
        <v>441.129</v>
      </c>
    </row>
    <row r="320" customFormat="false" ht="12.8" hidden="false" customHeight="false" outlineLevel="0" collapsed="false">
      <c r="A320" s="75" t="n">
        <v>3600</v>
      </c>
      <c r="B320" s="75" t="n">
        <v>3600</v>
      </c>
      <c r="C320" s="75" t="n">
        <v>865.15</v>
      </c>
      <c r="D320" s="78" t="n">
        <v>1800.05</v>
      </c>
    </row>
    <row r="321" customFormat="false" ht="12.8" hidden="false" customHeight="false" outlineLevel="0" collapsed="false">
      <c r="A321" s="75" t="n">
        <v>3600</v>
      </c>
      <c r="B321" s="75" t="n">
        <v>38.09</v>
      </c>
      <c r="C321" s="75" t="n">
        <v>2259.55</v>
      </c>
      <c r="D321" s="78" t="n">
        <v>631.913</v>
      </c>
    </row>
    <row r="322" customFormat="false" ht="12.8" hidden="false" customHeight="false" outlineLevel="0" collapsed="false">
      <c r="A322" s="75" t="n">
        <v>3600</v>
      </c>
      <c r="B322" s="75" t="n">
        <v>35.53</v>
      </c>
      <c r="C322" s="75" t="n">
        <v>0.17</v>
      </c>
      <c r="D322" s="78" t="n">
        <v>3.70567</v>
      </c>
    </row>
    <row r="323" customFormat="false" ht="12.8" hidden="false" customHeight="false" outlineLevel="0" collapsed="false">
      <c r="A323" s="77" t="n">
        <v>3600</v>
      </c>
      <c r="B323" s="77" t="n">
        <v>3600</v>
      </c>
      <c r="C323" s="77" t="n">
        <v>3600</v>
      </c>
      <c r="D323" s="78" t="n">
        <v>1800.02</v>
      </c>
    </row>
    <row r="324" customFormat="false" ht="12.8" hidden="false" customHeight="false" outlineLevel="0" collapsed="false">
      <c r="A324" s="77" t="n">
        <v>3600</v>
      </c>
      <c r="B324" s="77" t="n">
        <v>169.35</v>
      </c>
      <c r="C324" s="77" t="n">
        <v>3600</v>
      </c>
      <c r="D324" s="78" t="n">
        <v>1800</v>
      </c>
    </row>
  </sheetData>
  <autoFilter ref="A1:D32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4"/>
  <sheetViews>
    <sheetView showFormulas="false" showGridLines="true" showRowColHeaders="true" showZeros="true" rightToLeft="false" tabSelected="false" showOutlineSymbols="true" defaultGridColor="true" view="normal" topLeftCell="A302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5" width="75.03"/>
    <col collapsed="false" customWidth="true" hidden="false" outlineLevel="0" max="2" min="2" style="5" width="3.51"/>
    <col collapsed="false" customWidth="true" hidden="false" outlineLevel="0" max="3" min="3" style="5" width="9.36"/>
    <col collapsed="false" customWidth="true" hidden="false" outlineLevel="0" max="4" min="4" style="5" width="8.95"/>
    <col collapsed="false" customWidth="true" hidden="false" outlineLevel="0" max="5" min="5" style="5" width="7.42"/>
    <col collapsed="false" customWidth="true" hidden="false" outlineLevel="0" max="6" min="6" style="28" width="8.95"/>
    <col collapsed="false" customWidth="true" hidden="false" outlineLevel="0" max="7" min="7" style="28" width="9.49"/>
    <col collapsed="false" customWidth="true" hidden="false" outlineLevel="0" max="8" min="8" style="28" width="10.75"/>
    <col collapsed="false" customWidth="true" hidden="false" outlineLevel="0" max="9" min="9" style="28" width="7.42"/>
    <col collapsed="false" customWidth="true" hidden="false" outlineLevel="0" max="10" min="10" style="28" width="7.55"/>
    <col collapsed="false" customWidth="true" hidden="false" outlineLevel="0" max="11" min="11" style="28" width="6.02"/>
    <col collapsed="false" customWidth="true" hidden="false" outlineLevel="0" max="12" min="12" style="28" width="6.44"/>
    <col collapsed="false" customWidth="true" hidden="false" outlineLevel="0" max="13" min="13" style="28" width="11.45"/>
  </cols>
  <sheetData>
    <row r="1" customFormat="false" ht="12.8" hidden="false" customHeight="false" outlineLevel="0" collapsed="false">
      <c r="A1" s="79" t="s">
        <v>7</v>
      </c>
      <c r="B1" s="79" t="s">
        <v>40</v>
      </c>
      <c r="C1" s="79" t="s">
        <v>41</v>
      </c>
      <c r="D1" s="79" t="s">
        <v>42</v>
      </c>
      <c r="E1" s="79" t="s">
        <v>22</v>
      </c>
      <c r="F1" s="6" t="s">
        <v>26</v>
      </c>
      <c r="G1" s="6" t="s">
        <v>23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</row>
    <row r="2" customFormat="false" ht="12.8" hidden="false" customHeight="false" outlineLevel="0" collapsed="false">
      <c r="A2" s="5" t="s">
        <v>50</v>
      </c>
      <c r="B2" s="5" t="n">
        <v>5</v>
      </c>
      <c r="C2" s="5" t="n">
        <v>3600</v>
      </c>
      <c r="D2" s="5" t="n">
        <v>30</v>
      </c>
      <c r="E2" s="5" t="n">
        <v>100</v>
      </c>
      <c r="F2" s="28" t="n">
        <v>10.8525</v>
      </c>
      <c r="G2" s="28" t="s">
        <v>51</v>
      </c>
      <c r="H2" s="28" t="n">
        <v>23</v>
      </c>
      <c r="I2" s="28" t="n">
        <v>23</v>
      </c>
      <c r="J2" s="28" t="n">
        <v>7</v>
      </c>
      <c r="K2" s="28" t="n">
        <v>136</v>
      </c>
      <c r="L2" s="28" t="n">
        <v>663</v>
      </c>
      <c r="M2" s="28" t="n">
        <v>3</v>
      </c>
    </row>
    <row r="3" customFormat="false" ht="12.8" hidden="false" customHeight="false" outlineLevel="0" collapsed="false">
      <c r="A3" s="5" t="s">
        <v>52</v>
      </c>
      <c r="B3" s="5" t="n">
        <v>5</v>
      </c>
      <c r="C3" s="5" t="n">
        <v>3600</v>
      </c>
      <c r="D3" s="5" t="n">
        <v>93</v>
      </c>
      <c r="E3" s="5" t="n">
        <v>593</v>
      </c>
      <c r="F3" s="28" t="n">
        <v>223.828</v>
      </c>
      <c r="G3" s="28" t="s">
        <v>51</v>
      </c>
      <c r="H3" s="28" t="n">
        <v>84</v>
      </c>
      <c r="I3" s="28" t="n">
        <v>84</v>
      </c>
      <c r="J3" s="28" t="n">
        <v>9</v>
      </c>
      <c r="K3" s="28" t="n">
        <v>455</v>
      </c>
      <c r="L3" s="28" t="n">
        <v>1626</v>
      </c>
      <c r="M3" s="28" t="n">
        <v>801</v>
      </c>
    </row>
    <row r="4" customFormat="false" ht="12.8" hidden="false" customHeight="false" outlineLevel="0" collapsed="false">
      <c r="A4" s="5" t="s">
        <v>55</v>
      </c>
      <c r="B4" s="5" t="n">
        <v>5</v>
      </c>
      <c r="C4" s="5" t="n">
        <v>3600</v>
      </c>
      <c r="D4" s="5" t="n">
        <v>67</v>
      </c>
      <c r="E4" s="5" t="n">
        <v>232</v>
      </c>
      <c r="F4" s="28" t="n">
        <v>75.7969</v>
      </c>
      <c r="G4" s="28" t="s">
        <v>51</v>
      </c>
      <c r="H4" s="28" t="n">
        <v>60</v>
      </c>
      <c r="I4" s="28" t="n">
        <v>60</v>
      </c>
      <c r="J4" s="28" t="n">
        <v>7</v>
      </c>
      <c r="K4" s="28" t="n">
        <v>314</v>
      </c>
      <c r="L4" s="28" t="n">
        <v>708</v>
      </c>
      <c r="M4" s="28" t="n">
        <v>497</v>
      </c>
    </row>
    <row r="5" customFormat="false" ht="12.8" hidden="false" customHeight="false" outlineLevel="0" collapsed="false">
      <c r="A5" s="5" t="s">
        <v>56</v>
      </c>
      <c r="B5" s="5" t="n">
        <v>5</v>
      </c>
      <c r="C5" s="5" t="n">
        <v>3600</v>
      </c>
      <c r="D5" s="5" t="n">
        <v>52</v>
      </c>
      <c r="E5" s="5" t="n">
        <v>201</v>
      </c>
      <c r="F5" s="28" t="n">
        <v>27.008</v>
      </c>
      <c r="G5" s="28" t="s">
        <v>51</v>
      </c>
      <c r="H5" s="28" t="n">
        <v>44</v>
      </c>
      <c r="I5" s="28" t="n">
        <v>44</v>
      </c>
      <c r="J5" s="28" t="n">
        <v>8</v>
      </c>
      <c r="K5" s="28" t="n">
        <v>240</v>
      </c>
      <c r="L5" s="28" t="n">
        <v>775</v>
      </c>
      <c r="M5" s="28" t="n">
        <v>154</v>
      </c>
    </row>
    <row r="6" customFormat="false" ht="12.8" hidden="false" customHeight="false" outlineLevel="0" collapsed="false">
      <c r="A6" s="5" t="s">
        <v>57</v>
      </c>
      <c r="B6" s="5" t="n">
        <v>5</v>
      </c>
      <c r="C6" s="5" t="n">
        <v>3600</v>
      </c>
      <c r="D6" s="5" t="n">
        <v>37</v>
      </c>
      <c r="E6" s="5" t="n">
        <v>72</v>
      </c>
      <c r="F6" s="28" t="n">
        <v>5.82083</v>
      </c>
      <c r="G6" s="28" t="s">
        <v>51</v>
      </c>
      <c r="H6" s="28" t="n">
        <v>31</v>
      </c>
      <c r="I6" s="28" t="n">
        <v>31</v>
      </c>
      <c r="J6" s="28" t="n">
        <v>6</v>
      </c>
      <c r="K6" s="28" t="n">
        <v>175</v>
      </c>
      <c r="L6" s="28" t="n">
        <v>323</v>
      </c>
      <c r="M6" s="28" t="n">
        <v>45</v>
      </c>
    </row>
    <row r="7" customFormat="false" ht="12.8" hidden="false" customHeight="false" outlineLevel="0" collapsed="false">
      <c r="A7" s="5" t="s">
        <v>58</v>
      </c>
      <c r="B7" s="5" t="n">
        <v>5</v>
      </c>
      <c r="C7" s="5" t="n">
        <v>3600</v>
      </c>
      <c r="D7" s="5" t="n">
        <v>149</v>
      </c>
      <c r="E7" s="5" t="n">
        <v>541</v>
      </c>
      <c r="F7" s="28" t="n">
        <v>832.279</v>
      </c>
      <c r="G7" s="28" t="s">
        <v>51</v>
      </c>
      <c r="H7" s="28" t="n">
        <v>142</v>
      </c>
      <c r="I7" s="28" t="n">
        <v>142</v>
      </c>
      <c r="J7" s="28" t="n">
        <v>7</v>
      </c>
      <c r="K7" s="28" t="n">
        <v>735</v>
      </c>
      <c r="L7" s="28" t="n">
        <v>1363</v>
      </c>
      <c r="M7" s="28" t="n">
        <v>1335</v>
      </c>
    </row>
    <row r="8" customFormat="false" ht="12.8" hidden="false" customHeight="false" outlineLevel="0" collapsed="false">
      <c r="A8" s="5" t="s">
        <v>59</v>
      </c>
      <c r="B8" s="5" t="n">
        <v>5</v>
      </c>
      <c r="C8" s="5" t="n">
        <v>3600</v>
      </c>
      <c r="D8" s="5" t="n">
        <v>80</v>
      </c>
      <c r="E8" s="5" t="n">
        <v>346</v>
      </c>
      <c r="F8" s="28" t="n">
        <v>279.109</v>
      </c>
      <c r="G8" s="28" t="s">
        <v>51</v>
      </c>
      <c r="H8" s="28" t="n">
        <v>71</v>
      </c>
      <c r="I8" s="28" t="n">
        <v>71</v>
      </c>
      <c r="J8" s="28" t="n">
        <v>9</v>
      </c>
      <c r="K8" s="28" t="n">
        <v>390</v>
      </c>
      <c r="L8" s="28" t="n">
        <v>1217</v>
      </c>
      <c r="M8" s="28" t="n">
        <v>2628</v>
      </c>
    </row>
    <row r="9" customFormat="false" ht="12.8" hidden="false" customHeight="false" outlineLevel="0" collapsed="false">
      <c r="A9" s="5" t="s">
        <v>60</v>
      </c>
      <c r="B9" s="5" t="n">
        <v>5</v>
      </c>
      <c r="C9" s="5" t="n">
        <v>3600</v>
      </c>
      <c r="D9" s="5" t="n">
        <v>56</v>
      </c>
      <c r="E9" s="5" t="n">
        <v>110</v>
      </c>
      <c r="F9" s="28" t="n">
        <v>39.7577</v>
      </c>
      <c r="G9" s="28" t="s">
        <v>51</v>
      </c>
      <c r="H9" s="28" t="n">
        <v>50</v>
      </c>
      <c r="I9" s="28" t="n">
        <v>50</v>
      </c>
      <c r="J9" s="28" t="n">
        <v>6</v>
      </c>
      <c r="K9" s="28" t="n">
        <v>270</v>
      </c>
      <c r="L9" s="28" t="n">
        <v>839</v>
      </c>
      <c r="M9" s="28" t="n">
        <v>546</v>
      </c>
    </row>
    <row r="10" customFormat="false" ht="12.8" hidden="false" customHeight="false" outlineLevel="0" collapsed="false">
      <c r="A10" s="5" t="s">
        <v>61</v>
      </c>
      <c r="B10" s="5" t="n">
        <v>5</v>
      </c>
      <c r="C10" s="5" t="n">
        <v>3600</v>
      </c>
      <c r="D10" s="5" t="n">
        <v>114</v>
      </c>
      <c r="E10" s="5" t="n">
        <v>541</v>
      </c>
      <c r="F10" s="28" t="n">
        <v>1081.07</v>
      </c>
      <c r="G10" s="28" t="s">
        <v>51</v>
      </c>
      <c r="H10" s="28" t="n">
        <v>105</v>
      </c>
      <c r="I10" s="28" t="n">
        <v>105</v>
      </c>
      <c r="J10" s="28" t="n">
        <v>9</v>
      </c>
      <c r="K10" s="28" t="n">
        <v>558</v>
      </c>
      <c r="L10" s="28" t="n">
        <v>1798</v>
      </c>
      <c r="M10" s="28" t="n">
        <v>3690</v>
      </c>
    </row>
    <row r="11" customFormat="false" ht="12.8" hidden="false" customHeight="false" outlineLevel="0" collapsed="false">
      <c r="A11" s="5" t="s">
        <v>62</v>
      </c>
      <c r="B11" s="5" t="n">
        <v>5</v>
      </c>
      <c r="C11" s="5" t="n">
        <v>3600</v>
      </c>
      <c r="D11" s="5" t="n">
        <v>79</v>
      </c>
      <c r="E11" s="5" t="n">
        <v>156</v>
      </c>
      <c r="F11" s="28" t="n">
        <v>132.014</v>
      </c>
      <c r="G11" s="28" t="s">
        <v>51</v>
      </c>
      <c r="H11" s="28" t="n">
        <v>73</v>
      </c>
      <c r="I11" s="28" t="n">
        <v>73</v>
      </c>
      <c r="J11" s="28" t="n">
        <v>6</v>
      </c>
      <c r="K11" s="28" t="n">
        <v>383</v>
      </c>
      <c r="L11" s="28" t="n">
        <v>805</v>
      </c>
      <c r="M11" s="28" t="n">
        <v>2489</v>
      </c>
    </row>
    <row r="12" customFormat="false" ht="12.8" hidden="false" customHeight="false" outlineLevel="0" collapsed="false">
      <c r="A12" s="5" t="s">
        <v>63</v>
      </c>
      <c r="B12" s="5" t="n">
        <v>5</v>
      </c>
      <c r="C12" s="5" t="n">
        <v>3600</v>
      </c>
      <c r="D12" s="5" t="n">
        <v>154</v>
      </c>
      <c r="E12" s="5" t="n">
        <v>792</v>
      </c>
      <c r="F12" s="28" t="n">
        <v>3600</v>
      </c>
      <c r="G12" s="28" t="s">
        <v>54</v>
      </c>
      <c r="H12" s="28" t="n">
        <v>148.322</v>
      </c>
      <c r="I12" s="28" t="n">
        <v>145</v>
      </c>
      <c r="J12" s="28" t="n">
        <v>9</v>
      </c>
      <c r="K12" s="28" t="n">
        <v>751</v>
      </c>
      <c r="L12" s="28" t="n">
        <v>4366</v>
      </c>
      <c r="M12" s="28" t="n">
        <v>2181</v>
      </c>
    </row>
    <row r="13" customFormat="false" ht="12.8" hidden="false" customHeight="false" outlineLevel="0" collapsed="false">
      <c r="A13" s="5" t="s">
        <v>65</v>
      </c>
      <c r="B13" s="5" t="n">
        <v>5</v>
      </c>
      <c r="C13" s="5" t="n">
        <v>3600</v>
      </c>
      <c r="D13" s="5" t="n">
        <v>112</v>
      </c>
      <c r="E13" s="5" t="n">
        <v>425</v>
      </c>
      <c r="F13" s="28" t="n">
        <v>27.1318</v>
      </c>
      <c r="G13" s="28" t="s">
        <v>51</v>
      </c>
      <c r="H13" s="28" t="n">
        <v>110</v>
      </c>
      <c r="I13" s="28" t="n">
        <v>110</v>
      </c>
      <c r="J13" s="28" t="n">
        <v>2</v>
      </c>
      <c r="K13" s="28" t="n">
        <v>540</v>
      </c>
      <c r="L13" s="28" t="n">
        <v>2051</v>
      </c>
      <c r="M13" s="28" t="n">
        <v>3</v>
      </c>
    </row>
    <row r="14" customFormat="false" ht="12.8" hidden="false" customHeight="false" outlineLevel="0" collapsed="false">
      <c r="A14" s="5" t="s">
        <v>66</v>
      </c>
      <c r="B14" s="5" t="n">
        <v>5</v>
      </c>
      <c r="C14" s="5" t="n">
        <v>3600</v>
      </c>
      <c r="D14" s="5" t="n">
        <v>138</v>
      </c>
      <c r="E14" s="5" t="n">
        <v>493</v>
      </c>
      <c r="F14" s="28" t="n">
        <v>16.4801</v>
      </c>
      <c r="G14" s="28" t="s">
        <v>51</v>
      </c>
      <c r="H14" s="28" t="n">
        <v>137</v>
      </c>
      <c r="I14" s="28" t="n">
        <v>137</v>
      </c>
      <c r="J14" s="28" t="n">
        <v>1</v>
      </c>
      <c r="K14" s="28" t="n">
        <v>690</v>
      </c>
      <c r="L14" s="28" t="n">
        <v>2664</v>
      </c>
      <c r="M14" s="28" t="n">
        <v>2</v>
      </c>
    </row>
    <row r="15" customFormat="false" ht="12.8" hidden="false" customHeight="false" outlineLevel="0" collapsed="false">
      <c r="A15" s="5" t="s">
        <v>68</v>
      </c>
      <c r="B15" s="5" t="n">
        <v>5</v>
      </c>
      <c r="C15" s="5" t="n">
        <v>3600</v>
      </c>
      <c r="D15" s="5" t="n">
        <v>130</v>
      </c>
      <c r="E15" s="5" t="n">
        <v>7763</v>
      </c>
      <c r="F15" s="28" t="n">
        <v>140.268</v>
      </c>
      <c r="G15" s="28" t="s">
        <v>51</v>
      </c>
      <c r="H15" s="28" t="n">
        <v>47</v>
      </c>
      <c r="I15" s="28" t="n">
        <v>47</v>
      </c>
      <c r="J15" s="28" t="n">
        <v>83</v>
      </c>
      <c r="K15" s="28" t="n">
        <v>190</v>
      </c>
      <c r="L15" s="28" t="n">
        <v>96</v>
      </c>
      <c r="M15" s="28" t="n">
        <v>15</v>
      </c>
    </row>
    <row r="16" customFormat="false" ht="12.8" hidden="false" customHeight="false" outlineLevel="0" collapsed="false">
      <c r="A16" s="5" t="s">
        <v>69</v>
      </c>
      <c r="B16" s="5" t="n">
        <v>5</v>
      </c>
      <c r="C16" s="5" t="n">
        <v>3600</v>
      </c>
      <c r="D16" s="5" t="n">
        <v>85</v>
      </c>
      <c r="E16" s="5" t="n">
        <v>219</v>
      </c>
      <c r="F16" s="28" t="n">
        <v>360.597</v>
      </c>
      <c r="G16" s="28" t="s">
        <v>51</v>
      </c>
      <c r="H16" s="28" t="n">
        <v>78</v>
      </c>
      <c r="I16" s="28" t="n">
        <v>78</v>
      </c>
      <c r="J16" s="28" t="n">
        <v>7</v>
      </c>
      <c r="K16" s="28" t="n">
        <v>403</v>
      </c>
      <c r="L16" s="28" t="n">
        <v>1192</v>
      </c>
      <c r="M16" s="28" t="n">
        <v>9982</v>
      </c>
    </row>
    <row r="17" customFormat="false" ht="12.8" hidden="false" customHeight="false" outlineLevel="0" collapsed="false">
      <c r="A17" s="5" t="s">
        <v>70</v>
      </c>
      <c r="B17" s="5" t="n">
        <v>5</v>
      </c>
      <c r="C17" s="5" t="n">
        <v>3600</v>
      </c>
      <c r="D17" s="5" t="n">
        <v>104</v>
      </c>
      <c r="E17" s="5" t="n">
        <v>331</v>
      </c>
      <c r="F17" s="28" t="n">
        <v>2075.37</v>
      </c>
      <c r="G17" s="28" t="s">
        <v>51</v>
      </c>
      <c r="H17" s="28" t="n">
        <v>96</v>
      </c>
      <c r="I17" s="28" t="n">
        <v>96</v>
      </c>
      <c r="J17" s="28" t="n">
        <v>8</v>
      </c>
      <c r="K17" s="28" t="n">
        <v>489</v>
      </c>
      <c r="L17" s="28" t="n">
        <v>1701</v>
      </c>
      <c r="M17" s="28" t="n">
        <v>77481</v>
      </c>
    </row>
    <row r="18" customFormat="false" ht="12.8" hidden="false" customHeight="false" outlineLevel="0" collapsed="false">
      <c r="A18" s="5" t="s">
        <v>71</v>
      </c>
      <c r="B18" s="5" t="n">
        <v>5</v>
      </c>
      <c r="C18" s="5" t="n">
        <v>3600</v>
      </c>
      <c r="D18" s="5" t="n">
        <v>85</v>
      </c>
      <c r="E18" s="5" t="n">
        <v>616</v>
      </c>
      <c r="F18" s="28" t="n">
        <v>3600</v>
      </c>
      <c r="G18" s="28" t="s">
        <v>54</v>
      </c>
      <c r="H18" s="28" t="n">
        <v>72.6201</v>
      </c>
      <c r="I18" s="28" t="n">
        <v>63</v>
      </c>
      <c r="J18" s="28" t="n">
        <v>22</v>
      </c>
      <c r="K18" s="28" t="n">
        <v>392</v>
      </c>
      <c r="L18" s="28" t="n">
        <v>3762</v>
      </c>
      <c r="M18" s="28" t="n">
        <v>124988</v>
      </c>
    </row>
    <row r="19" customFormat="false" ht="12.8" hidden="false" customHeight="false" outlineLevel="0" collapsed="false">
      <c r="A19" s="5" t="s">
        <v>72</v>
      </c>
      <c r="B19" s="5" t="n">
        <v>5</v>
      </c>
      <c r="C19" s="5" t="n">
        <v>3600</v>
      </c>
      <c r="D19" s="5" t="n">
        <v>39</v>
      </c>
      <c r="E19" s="5" t="n">
        <v>118</v>
      </c>
      <c r="F19" s="28" t="n">
        <v>11.0056</v>
      </c>
      <c r="G19" s="28" t="s">
        <v>51</v>
      </c>
      <c r="H19" s="28" t="n">
        <v>32</v>
      </c>
      <c r="I19" s="28" t="n">
        <v>32</v>
      </c>
      <c r="J19" s="28" t="n">
        <v>7</v>
      </c>
      <c r="K19" s="28" t="n">
        <v>165</v>
      </c>
      <c r="L19" s="28" t="n">
        <v>636</v>
      </c>
      <c r="M19" s="28" t="n">
        <v>341</v>
      </c>
    </row>
    <row r="20" customFormat="false" ht="12.8" hidden="false" customHeight="false" outlineLevel="0" collapsed="false">
      <c r="A20" s="5" t="s">
        <v>73</v>
      </c>
      <c r="B20" s="5" t="n">
        <v>5</v>
      </c>
      <c r="C20" s="5" t="n">
        <v>3600</v>
      </c>
      <c r="D20" s="5" t="n">
        <v>49</v>
      </c>
      <c r="E20" s="5" t="n">
        <v>177</v>
      </c>
      <c r="F20" s="28" t="n">
        <v>25.3384</v>
      </c>
      <c r="G20" s="28" t="s">
        <v>51</v>
      </c>
      <c r="H20" s="28" t="n">
        <v>42</v>
      </c>
      <c r="I20" s="28" t="n">
        <v>42</v>
      </c>
      <c r="J20" s="28" t="n">
        <v>7</v>
      </c>
      <c r="K20" s="28" t="n">
        <v>235</v>
      </c>
      <c r="L20" s="28" t="n">
        <v>694</v>
      </c>
      <c r="M20" s="28" t="n">
        <v>489</v>
      </c>
    </row>
    <row r="21" customFormat="false" ht="12.8" hidden="false" customHeight="false" outlineLevel="0" collapsed="false">
      <c r="A21" s="5" t="s">
        <v>74</v>
      </c>
      <c r="B21" s="5" t="n">
        <v>5</v>
      </c>
      <c r="C21" s="5" t="n">
        <v>3600</v>
      </c>
      <c r="D21" s="5" t="n">
        <v>118</v>
      </c>
      <c r="E21" s="5" t="n">
        <v>576</v>
      </c>
      <c r="F21" s="28" t="n">
        <v>2625.39</v>
      </c>
      <c r="G21" s="28" t="s">
        <v>51</v>
      </c>
      <c r="H21" s="28" t="n">
        <v>108</v>
      </c>
      <c r="I21" s="28" t="n">
        <v>108</v>
      </c>
      <c r="J21" s="28" t="n">
        <v>10</v>
      </c>
      <c r="K21" s="28" t="n">
        <v>557</v>
      </c>
      <c r="L21" s="28" t="n">
        <v>2916</v>
      </c>
      <c r="M21" s="28" t="n">
        <v>97879</v>
      </c>
    </row>
    <row r="22" customFormat="false" ht="12.8" hidden="false" customHeight="false" outlineLevel="0" collapsed="false">
      <c r="A22" s="5" t="s">
        <v>75</v>
      </c>
      <c r="B22" s="5" t="n">
        <v>5</v>
      </c>
      <c r="C22" s="5" t="n">
        <v>3600</v>
      </c>
      <c r="D22" s="5" t="n">
        <v>62</v>
      </c>
      <c r="E22" s="5" t="n">
        <v>639</v>
      </c>
      <c r="F22" s="28" t="n">
        <v>578.878</v>
      </c>
      <c r="G22" s="28" t="s">
        <v>51</v>
      </c>
      <c r="H22" s="28" t="n">
        <v>40</v>
      </c>
      <c r="I22" s="28" t="n">
        <v>40</v>
      </c>
      <c r="J22" s="28" t="n">
        <v>22</v>
      </c>
      <c r="K22" s="28" t="n">
        <v>274</v>
      </c>
      <c r="L22" s="28" t="n">
        <v>2761</v>
      </c>
      <c r="M22" s="28" t="n">
        <v>27218</v>
      </c>
    </row>
    <row r="23" customFormat="false" ht="12.8" hidden="false" customHeight="false" outlineLevel="0" collapsed="false">
      <c r="A23" s="5" t="s">
        <v>76</v>
      </c>
      <c r="B23" s="5" t="n">
        <v>5</v>
      </c>
      <c r="C23" s="5" t="n">
        <v>3600</v>
      </c>
      <c r="D23" s="5" t="n">
        <v>144</v>
      </c>
      <c r="E23" s="5" t="n">
        <v>1656</v>
      </c>
      <c r="F23" s="28" t="n">
        <v>3600</v>
      </c>
      <c r="G23" s="28" t="s">
        <v>54</v>
      </c>
      <c r="H23" s="28" t="n">
        <v>135.977</v>
      </c>
      <c r="I23" s="28" t="n">
        <v>99</v>
      </c>
      <c r="J23" s="28" t="n">
        <v>45</v>
      </c>
      <c r="K23" s="28" t="n">
        <v>660</v>
      </c>
      <c r="L23" s="28" t="n">
        <v>9741</v>
      </c>
      <c r="M23" s="28" t="n">
        <v>36004</v>
      </c>
    </row>
    <row r="24" customFormat="false" ht="12.8" hidden="false" customHeight="false" outlineLevel="0" collapsed="false">
      <c r="A24" s="5" t="s">
        <v>78</v>
      </c>
      <c r="B24" s="5" t="n">
        <v>5</v>
      </c>
      <c r="C24" s="5" t="n">
        <v>3600</v>
      </c>
      <c r="D24" s="5" t="n">
        <v>61</v>
      </c>
      <c r="E24" s="5" t="n">
        <v>866</v>
      </c>
      <c r="F24" s="28" t="n">
        <v>229.548</v>
      </c>
      <c r="G24" s="28" t="s">
        <v>51</v>
      </c>
      <c r="H24" s="28" t="n">
        <v>22</v>
      </c>
      <c r="I24" s="28" t="n">
        <v>22</v>
      </c>
      <c r="J24" s="28" t="n">
        <v>39</v>
      </c>
      <c r="K24" s="28" t="n">
        <v>295</v>
      </c>
      <c r="L24" s="28" t="n">
        <v>2241</v>
      </c>
      <c r="M24" s="28" t="n">
        <v>6513</v>
      </c>
    </row>
    <row r="25" customFormat="false" ht="12.8" hidden="false" customHeight="false" outlineLevel="0" collapsed="false">
      <c r="A25" s="5" t="s">
        <v>79</v>
      </c>
      <c r="B25" s="5" t="n">
        <v>5</v>
      </c>
      <c r="C25" s="5" t="n">
        <v>3600</v>
      </c>
      <c r="D25" s="5" t="n">
        <v>62</v>
      </c>
      <c r="E25" s="5" t="n">
        <v>210</v>
      </c>
      <c r="F25" s="28" t="n">
        <v>66.9171</v>
      </c>
      <c r="G25" s="28" t="s">
        <v>51</v>
      </c>
      <c r="H25" s="28" t="n">
        <v>55</v>
      </c>
      <c r="I25" s="28" t="n">
        <v>55</v>
      </c>
      <c r="J25" s="28" t="n">
        <v>7</v>
      </c>
      <c r="K25" s="28" t="n">
        <v>300</v>
      </c>
      <c r="L25" s="28" t="n">
        <v>1067</v>
      </c>
      <c r="M25" s="28" t="n">
        <v>2418</v>
      </c>
    </row>
    <row r="26" customFormat="false" ht="12.8" hidden="false" customHeight="false" outlineLevel="0" collapsed="false">
      <c r="A26" s="5" t="s">
        <v>80</v>
      </c>
      <c r="B26" s="5" t="n">
        <v>5</v>
      </c>
      <c r="C26" s="5" t="n">
        <v>3600</v>
      </c>
      <c r="D26" s="5" t="n">
        <v>73</v>
      </c>
      <c r="E26" s="5" t="n">
        <v>652</v>
      </c>
      <c r="F26" s="28" t="n">
        <v>3600</v>
      </c>
      <c r="G26" s="28" t="s">
        <v>54</v>
      </c>
      <c r="H26" s="28" t="n">
        <v>54.0295</v>
      </c>
      <c r="I26" s="28" t="n">
        <v>45</v>
      </c>
      <c r="J26" s="28" t="n">
        <v>28</v>
      </c>
      <c r="K26" s="28" t="n">
        <v>334</v>
      </c>
      <c r="L26" s="28" t="n">
        <v>5832</v>
      </c>
      <c r="M26" s="28" t="n">
        <v>205609</v>
      </c>
    </row>
    <row r="27" customFormat="false" ht="12.8" hidden="false" customHeight="false" outlineLevel="0" collapsed="false">
      <c r="A27" s="5" t="s">
        <v>81</v>
      </c>
      <c r="B27" s="5" t="n">
        <v>5</v>
      </c>
      <c r="C27" s="5" t="n">
        <v>3600</v>
      </c>
      <c r="D27" s="5" t="n">
        <v>96</v>
      </c>
      <c r="E27" s="5" t="n">
        <v>912</v>
      </c>
      <c r="F27" s="28" t="n">
        <v>3600</v>
      </c>
      <c r="G27" s="28" t="s">
        <v>54</v>
      </c>
      <c r="H27" s="28" t="n">
        <v>84.8875</v>
      </c>
      <c r="I27" s="28" t="n">
        <v>58</v>
      </c>
      <c r="J27" s="28" t="n">
        <v>38</v>
      </c>
      <c r="K27" s="28" t="n">
        <v>450</v>
      </c>
      <c r="L27" s="28" t="n">
        <v>7693</v>
      </c>
      <c r="M27" s="28" t="n">
        <v>65685</v>
      </c>
    </row>
    <row r="28" customFormat="false" ht="12.8" hidden="false" customHeight="false" outlineLevel="0" collapsed="false">
      <c r="A28" s="5" t="s">
        <v>82</v>
      </c>
      <c r="B28" s="5" t="n">
        <v>5</v>
      </c>
      <c r="C28" s="5" t="n">
        <v>3600</v>
      </c>
      <c r="D28" s="5" t="n">
        <v>297</v>
      </c>
      <c r="E28" s="5" t="n">
        <v>2148</v>
      </c>
      <c r="F28" s="28" t="n">
        <v>44.4032</v>
      </c>
      <c r="G28" s="28" t="s">
        <v>51</v>
      </c>
      <c r="H28" s="28" t="n">
        <v>296</v>
      </c>
      <c r="I28" s="28" t="n">
        <v>296</v>
      </c>
      <c r="J28" s="28" t="n">
        <v>1</v>
      </c>
      <c r="K28" s="28" t="n">
        <v>1485</v>
      </c>
      <c r="L28" s="28" t="n">
        <v>11051</v>
      </c>
      <c r="M28" s="28" t="n">
        <v>3</v>
      </c>
    </row>
    <row r="29" customFormat="false" ht="12.8" hidden="false" customHeight="false" outlineLevel="0" collapsed="false">
      <c r="A29" s="5" t="s">
        <v>83</v>
      </c>
      <c r="B29" s="5" t="n">
        <v>5</v>
      </c>
      <c r="C29" s="5" t="n">
        <v>3600</v>
      </c>
      <c r="D29" s="5" t="n">
        <v>39</v>
      </c>
      <c r="E29" s="5" t="n">
        <v>170</v>
      </c>
      <c r="F29" s="28" t="n">
        <v>8.57636</v>
      </c>
      <c r="G29" s="28" t="s">
        <v>51</v>
      </c>
      <c r="H29" s="28" t="n">
        <v>32</v>
      </c>
      <c r="I29" s="28" t="n">
        <v>32</v>
      </c>
      <c r="J29" s="28" t="n">
        <v>7</v>
      </c>
      <c r="K29" s="28" t="n">
        <v>185</v>
      </c>
      <c r="L29" s="28" t="n">
        <v>421</v>
      </c>
      <c r="M29" s="28" t="n">
        <v>30</v>
      </c>
    </row>
    <row r="30" customFormat="false" ht="12.8" hidden="false" customHeight="false" outlineLevel="0" collapsed="false">
      <c r="A30" s="5" t="s">
        <v>84</v>
      </c>
      <c r="B30" s="5" t="n">
        <v>5</v>
      </c>
      <c r="C30" s="5" t="n">
        <v>3600</v>
      </c>
      <c r="D30" s="5" t="n">
        <v>54</v>
      </c>
      <c r="E30" s="5" t="n">
        <v>337</v>
      </c>
      <c r="F30" s="28" t="n">
        <v>158.044</v>
      </c>
      <c r="G30" s="28" t="s">
        <v>51</v>
      </c>
      <c r="H30" s="28" t="n">
        <v>38</v>
      </c>
      <c r="I30" s="28" t="n">
        <v>38</v>
      </c>
      <c r="J30" s="28" t="n">
        <v>16</v>
      </c>
      <c r="K30" s="28" t="n">
        <v>253</v>
      </c>
      <c r="L30" s="28" t="n">
        <v>1664</v>
      </c>
      <c r="M30" s="28" t="n">
        <v>11182</v>
      </c>
    </row>
    <row r="31" customFormat="false" ht="12.8" hidden="false" customHeight="false" outlineLevel="0" collapsed="false">
      <c r="A31" s="5" t="s">
        <v>85</v>
      </c>
      <c r="B31" s="5" t="n">
        <v>5</v>
      </c>
      <c r="C31" s="5" t="n">
        <v>3600</v>
      </c>
      <c r="D31" s="5" t="n">
        <v>87</v>
      </c>
      <c r="E31" s="5" t="n">
        <v>406</v>
      </c>
      <c r="F31" s="28" t="n">
        <v>4.95056</v>
      </c>
      <c r="G31" s="28" t="s">
        <v>51</v>
      </c>
      <c r="H31" s="28" t="n">
        <v>86</v>
      </c>
      <c r="I31" s="28" t="n">
        <v>86</v>
      </c>
      <c r="J31" s="28" t="n">
        <v>2</v>
      </c>
      <c r="K31" s="28" t="n">
        <v>435</v>
      </c>
      <c r="L31" s="28" t="n">
        <v>2202</v>
      </c>
      <c r="M31" s="28" t="n">
        <v>1</v>
      </c>
    </row>
    <row r="32" customFormat="false" ht="12.8" hidden="false" customHeight="false" outlineLevel="0" collapsed="false">
      <c r="A32" s="5" t="s">
        <v>87</v>
      </c>
      <c r="B32" s="5" t="n">
        <v>5</v>
      </c>
      <c r="C32" s="5" t="n">
        <v>3600</v>
      </c>
      <c r="D32" s="5" t="n">
        <v>62</v>
      </c>
      <c r="E32" s="5" t="n">
        <v>159</v>
      </c>
      <c r="F32" s="28" t="n">
        <v>5.11597</v>
      </c>
      <c r="G32" s="28" t="s">
        <v>51</v>
      </c>
      <c r="H32" s="28" t="n">
        <v>60</v>
      </c>
      <c r="I32" s="28" t="n">
        <v>60</v>
      </c>
      <c r="J32" s="28" t="n">
        <v>2</v>
      </c>
      <c r="K32" s="28" t="n">
        <v>300</v>
      </c>
      <c r="L32" s="28" t="n">
        <v>466</v>
      </c>
      <c r="M32" s="28" t="n">
        <v>10</v>
      </c>
    </row>
    <row r="33" customFormat="false" ht="12.8" hidden="false" customHeight="false" outlineLevel="0" collapsed="false">
      <c r="A33" s="5" t="s">
        <v>88</v>
      </c>
      <c r="B33" s="5" t="n">
        <v>5</v>
      </c>
      <c r="C33" s="5" t="n">
        <v>3600</v>
      </c>
      <c r="D33" s="5" t="n">
        <v>125</v>
      </c>
      <c r="E33" s="5" t="n">
        <v>736</v>
      </c>
      <c r="F33" s="28" t="n">
        <v>3600</v>
      </c>
      <c r="G33" s="28" t="s">
        <v>54</v>
      </c>
      <c r="H33" s="28" t="n">
        <v>119.742</v>
      </c>
      <c r="I33" s="28" t="n">
        <v>102</v>
      </c>
      <c r="J33" s="28" t="n">
        <v>23</v>
      </c>
      <c r="K33" s="28" t="n">
        <v>613</v>
      </c>
      <c r="L33" s="28" t="n">
        <v>4028</v>
      </c>
      <c r="M33" s="28" t="n">
        <v>817</v>
      </c>
    </row>
    <row r="34" customFormat="false" ht="12.8" hidden="false" customHeight="false" outlineLevel="0" collapsed="false">
      <c r="A34" s="5" t="s">
        <v>89</v>
      </c>
      <c r="B34" s="5" t="n">
        <v>5</v>
      </c>
      <c r="C34" s="5" t="n">
        <v>3600</v>
      </c>
      <c r="D34" s="5" t="n">
        <v>125</v>
      </c>
      <c r="E34" s="5" t="n">
        <v>3891</v>
      </c>
      <c r="F34" s="28" t="n">
        <v>3600</v>
      </c>
      <c r="G34" s="28" t="s">
        <v>54</v>
      </c>
      <c r="H34" s="28" t="n">
        <v>107.869</v>
      </c>
      <c r="I34" s="28" t="n">
        <v>21</v>
      </c>
      <c r="J34" s="28" t="n">
        <v>104</v>
      </c>
      <c r="K34" s="28" t="n">
        <v>587</v>
      </c>
      <c r="L34" s="28" t="n">
        <v>20654</v>
      </c>
      <c r="M34" s="28" t="n">
        <v>16869</v>
      </c>
    </row>
    <row r="35" customFormat="false" ht="12.8" hidden="false" customHeight="false" outlineLevel="0" collapsed="false">
      <c r="A35" s="5" t="s">
        <v>90</v>
      </c>
      <c r="B35" s="5" t="n">
        <v>5</v>
      </c>
      <c r="C35" s="5" t="n">
        <v>3600</v>
      </c>
      <c r="D35" s="5" t="n">
        <v>59</v>
      </c>
      <c r="E35" s="5" t="n">
        <v>256</v>
      </c>
      <c r="F35" s="28" t="n">
        <v>80.1714</v>
      </c>
      <c r="G35" s="28" t="s">
        <v>51</v>
      </c>
      <c r="H35" s="28" t="n">
        <v>49</v>
      </c>
      <c r="I35" s="28" t="n">
        <v>49</v>
      </c>
      <c r="J35" s="28" t="n">
        <v>10</v>
      </c>
      <c r="K35" s="28" t="n">
        <v>271</v>
      </c>
      <c r="L35" s="28" t="n">
        <v>1264</v>
      </c>
      <c r="M35" s="28" t="n">
        <v>853</v>
      </c>
    </row>
    <row r="36" customFormat="false" ht="12.8" hidden="false" customHeight="false" outlineLevel="0" collapsed="false">
      <c r="A36" s="5" t="s">
        <v>91</v>
      </c>
      <c r="B36" s="5" t="n">
        <v>5</v>
      </c>
      <c r="C36" s="5" t="n">
        <v>3600</v>
      </c>
      <c r="D36" s="5" t="n">
        <v>66</v>
      </c>
      <c r="E36" s="5" t="n">
        <v>255</v>
      </c>
      <c r="F36" s="28" t="n">
        <v>3600</v>
      </c>
      <c r="G36" s="28" t="s">
        <v>54</v>
      </c>
      <c r="H36" s="28" t="n">
        <v>57.7414</v>
      </c>
      <c r="I36" s="28" t="n">
        <v>51</v>
      </c>
      <c r="J36" s="28" t="n">
        <v>15</v>
      </c>
      <c r="K36" s="28" t="n">
        <v>302</v>
      </c>
      <c r="L36" s="28" t="n">
        <v>1664</v>
      </c>
      <c r="M36" s="28" t="n">
        <v>530547</v>
      </c>
    </row>
    <row r="37" customFormat="false" ht="12.8" hidden="false" customHeight="false" outlineLevel="0" collapsed="false">
      <c r="A37" s="5" t="s">
        <v>92</v>
      </c>
      <c r="B37" s="5" t="n">
        <v>5</v>
      </c>
      <c r="C37" s="5" t="n">
        <v>3600</v>
      </c>
      <c r="D37" s="5" t="n">
        <v>72</v>
      </c>
      <c r="E37" s="5" t="n">
        <v>170</v>
      </c>
      <c r="F37" s="28" t="n">
        <v>522.53</v>
      </c>
      <c r="G37" s="28" t="s">
        <v>51</v>
      </c>
      <c r="H37" s="28" t="n">
        <v>65</v>
      </c>
      <c r="I37" s="28" t="n">
        <v>65</v>
      </c>
      <c r="J37" s="28" t="n">
        <v>7</v>
      </c>
      <c r="K37" s="28" t="n">
        <v>330</v>
      </c>
      <c r="L37" s="28" t="n">
        <v>875</v>
      </c>
      <c r="M37" s="28" t="n">
        <v>40164</v>
      </c>
    </row>
    <row r="38" customFormat="false" ht="12.8" hidden="false" customHeight="false" outlineLevel="0" collapsed="false">
      <c r="A38" s="5" t="s">
        <v>93</v>
      </c>
      <c r="B38" s="5" t="n">
        <v>5</v>
      </c>
      <c r="C38" s="5" t="n">
        <v>3600</v>
      </c>
      <c r="D38" s="5" t="n">
        <v>87</v>
      </c>
      <c r="E38" s="5" t="n">
        <v>726</v>
      </c>
      <c r="F38" s="28" t="n">
        <v>361.807</v>
      </c>
      <c r="G38" s="28" t="s">
        <v>51</v>
      </c>
      <c r="H38" s="28" t="n">
        <v>76</v>
      </c>
      <c r="I38" s="28" t="n">
        <v>76</v>
      </c>
      <c r="J38" s="28" t="n">
        <v>11</v>
      </c>
      <c r="K38" s="28" t="n">
        <v>425</v>
      </c>
      <c r="L38" s="28" t="n">
        <v>1672</v>
      </c>
      <c r="M38" s="28" t="n">
        <v>5470</v>
      </c>
    </row>
    <row r="39" customFormat="false" ht="12.8" hidden="false" customHeight="false" outlineLevel="0" collapsed="false">
      <c r="A39" s="5" t="s">
        <v>94</v>
      </c>
      <c r="B39" s="5" t="n">
        <v>5</v>
      </c>
      <c r="C39" s="5" t="n">
        <v>3600</v>
      </c>
      <c r="D39" s="5" t="n">
        <v>115</v>
      </c>
      <c r="E39" s="5" t="n">
        <v>613</v>
      </c>
      <c r="F39" s="28" t="n">
        <v>3600</v>
      </c>
      <c r="G39" s="28" t="s">
        <v>54</v>
      </c>
      <c r="H39" s="28" t="n">
        <v>108</v>
      </c>
      <c r="I39" s="28" t="n">
        <v>91</v>
      </c>
      <c r="J39" s="28" t="n">
        <v>24</v>
      </c>
      <c r="K39" s="28" t="n">
        <v>555</v>
      </c>
      <c r="L39" s="28" t="n">
        <v>3440</v>
      </c>
      <c r="M39" s="28" t="n">
        <v>23998</v>
      </c>
    </row>
    <row r="40" customFormat="false" ht="12.8" hidden="false" customHeight="false" outlineLevel="0" collapsed="false">
      <c r="A40" s="5" t="s">
        <v>95</v>
      </c>
      <c r="B40" s="5" t="n">
        <v>5</v>
      </c>
      <c r="C40" s="5" t="n">
        <v>3600</v>
      </c>
      <c r="D40" s="5" t="n">
        <v>120</v>
      </c>
      <c r="E40" s="5" t="n">
        <v>638</v>
      </c>
      <c r="F40" s="28" t="n">
        <v>3600</v>
      </c>
      <c r="G40" s="28" t="s">
        <v>54</v>
      </c>
      <c r="H40" s="28" t="n">
        <v>114.46</v>
      </c>
      <c r="I40" s="28" t="n">
        <v>99</v>
      </c>
      <c r="J40" s="28" t="n">
        <v>21</v>
      </c>
      <c r="K40" s="28" t="n">
        <v>588</v>
      </c>
      <c r="L40" s="28" t="n">
        <v>3505</v>
      </c>
      <c r="M40" s="28" t="n">
        <v>17712</v>
      </c>
    </row>
    <row r="41" customFormat="false" ht="12.8" hidden="false" customHeight="false" outlineLevel="0" collapsed="false">
      <c r="A41" s="5" t="s">
        <v>96</v>
      </c>
      <c r="B41" s="5" t="n">
        <v>5</v>
      </c>
      <c r="C41" s="5" t="n">
        <v>3600</v>
      </c>
      <c r="D41" s="5" t="n">
        <v>115</v>
      </c>
      <c r="E41" s="5" t="n">
        <v>576</v>
      </c>
      <c r="F41" s="28" t="n">
        <v>2488.25</v>
      </c>
      <c r="G41" s="28" t="s">
        <v>51</v>
      </c>
      <c r="H41" s="28" t="n">
        <v>103</v>
      </c>
      <c r="I41" s="28" t="n">
        <v>103</v>
      </c>
      <c r="J41" s="28" t="n">
        <v>12</v>
      </c>
      <c r="K41" s="28" t="n">
        <v>565</v>
      </c>
      <c r="L41" s="28" t="n">
        <v>1198</v>
      </c>
      <c r="M41" s="28" t="n">
        <v>105701</v>
      </c>
    </row>
    <row r="42" customFormat="false" ht="12.8" hidden="false" customHeight="false" outlineLevel="0" collapsed="false">
      <c r="A42" s="5" t="s">
        <v>97</v>
      </c>
      <c r="B42" s="5" t="n">
        <v>5</v>
      </c>
      <c r="C42" s="5" t="n">
        <v>3600</v>
      </c>
      <c r="D42" s="5" t="n">
        <v>74</v>
      </c>
      <c r="E42" s="5" t="n">
        <v>301</v>
      </c>
      <c r="F42" s="28" t="n">
        <v>4.87383</v>
      </c>
      <c r="G42" s="28" t="s">
        <v>51</v>
      </c>
      <c r="H42" s="28" t="n">
        <v>73</v>
      </c>
      <c r="I42" s="28" t="n">
        <v>73</v>
      </c>
      <c r="J42" s="28" t="n">
        <v>1</v>
      </c>
      <c r="K42" s="28" t="n">
        <v>360</v>
      </c>
      <c r="L42" s="28" t="n">
        <v>1528</v>
      </c>
      <c r="M42" s="28" t="n">
        <v>3</v>
      </c>
    </row>
    <row r="43" customFormat="false" ht="12.8" hidden="false" customHeight="false" outlineLevel="0" collapsed="false">
      <c r="A43" s="5" t="s">
        <v>98</v>
      </c>
      <c r="B43" s="5" t="n">
        <v>5</v>
      </c>
      <c r="C43" s="5" t="n">
        <v>3600</v>
      </c>
      <c r="D43" s="5" t="n">
        <v>32</v>
      </c>
      <c r="E43" s="5" t="n">
        <v>179</v>
      </c>
      <c r="F43" s="28" t="n">
        <v>10.2605</v>
      </c>
      <c r="G43" s="28" t="s">
        <v>51</v>
      </c>
      <c r="H43" s="28" t="n">
        <v>16</v>
      </c>
      <c r="I43" s="28" t="n">
        <v>16</v>
      </c>
      <c r="J43" s="28" t="n">
        <v>16</v>
      </c>
      <c r="K43" s="28" t="n">
        <v>123</v>
      </c>
      <c r="L43" s="28" t="n">
        <v>571</v>
      </c>
      <c r="M43" s="28" t="n">
        <v>643</v>
      </c>
    </row>
    <row r="44" customFormat="false" ht="12.8" hidden="false" customHeight="false" outlineLevel="0" collapsed="false">
      <c r="A44" s="5" t="s">
        <v>99</v>
      </c>
      <c r="B44" s="5" t="n">
        <v>5</v>
      </c>
      <c r="C44" s="5" t="n">
        <v>3600</v>
      </c>
      <c r="D44" s="5" t="n">
        <v>59</v>
      </c>
      <c r="E44" s="5" t="n">
        <v>329</v>
      </c>
      <c r="F44" s="28" t="n">
        <v>21.6887</v>
      </c>
      <c r="G44" s="28" t="s">
        <v>51</v>
      </c>
      <c r="H44" s="28" t="n">
        <v>54</v>
      </c>
      <c r="I44" s="28" t="n">
        <v>54</v>
      </c>
      <c r="J44" s="28" t="n">
        <v>5</v>
      </c>
      <c r="K44" s="28" t="n">
        <v>285</v>
      </c>
      <c r="L44" s="28" t="n">
        <v>1734</v>
      </c>
      <c r="M44" s="28" t="n">
        <v>7</v>
      </c>
    </row>
    <row r="45" customFormat="false" ht="12.8" hidden="false" customHeight="false" outlineLevel="0" collapsed="false">
      <c r="A45" s="5" t="s">
        <v>100</v>
      </c>
      <c r="B45" s="5" t="n">
        <v>5</v>
      </c>
      <c r="C45" s="5" t="n">
        <v>3600</v>
      </c>
      <c r="D45" s="5" t="n">
        <v>198</v>
      </c>
      <c r="E45" s="5" t="n">
        <v>2742</v>
      </c>
      <c r="F45" s="28" t="n">
        <v>280.823</v>
      </c>
      <c r="G45" s="28" t="s">
        <v>51</v>
      </c>
      <c r="H45" s="28" t="n">
        <v>194</v>
      </c>
      <c r="I45" s="28" t="n">
        <v>194</v>
      </c>
      <c r="J45" s="28" t="n">
        <v>4</v>
      </c>
      <c r="K45" s="28" t="n">
        <v>980</v>
      </c>
      <c r="L45" s="28" t="n">
        <v>8911</v>
      </c>
      <c r="M45" s="28" t="n">
        <v>85</v>
      </c>
    </row>
    <row r="46" customFormat="false" ht="12.8" hidden="false" customHeight="false" outlineLevel="0" collapsed="false">
      <c r="A46" s="5" t="s">
        <v>101</v>
      </c>
      <c r="B46" s="5" t="n">
        <v>5</v>
      </c>
      <c r="C46" s="5" t="n">
        <v>3600</v>
      </c>
      <c r="D46" s="5" t="n">
        <v>80</v>
      </c>
      <c r="E46" s="5" t="n">
        <v>254</v>
      </c>
      <c r="F46" s="28" t="n">
        <v>3.94741</v>
      </c>
      <c r="G46" s="28" t="s">
        <v>51</v>
      </c>
      <c r="H46" s="28" t="n">
        <v>79</v>
      </c>
      <c r="I46" s="28" t="n">
        <v>79</v>
      </c>
      <c r="J46" s="28" t="n">
        <v>1</v>
      </c>
      <c r="K46" s="28" t="n">
        <v>400</v>
      </c>
      <c r="L46" s="28" t="n">
        <v>1407</v>
      </c>
      <c r="M46" s="28" t="n">
        <v>1</v>
      </c>
    </row>
    <row r="47" customFormat="false" ht="12.8" hidden="false" customHeight="false" outlineLevel="0" collapsed="false">
      <c r="A47" s="5" t="s">
        <v>102</v>
      </c>
      <c r="B47" s="5" t="n">
        <v>5</v>
      </c>
      <c r="C47" s="5" t="n">
        <v>3600</v>
      </c>
      <c r="D47" s="5" t="n">
        <v>34</v>
      </c>
      <c r="E47" s="5" t="n">
        <v>78</v>
      </c>
      <c r="F47" s="28" t="n">
        <v>1.61676</v>
      </c>
      <c r="G47" s="28" t="s">
        <v>51</v>
      </c>
      <c r="H47" s="28" t="n">
        <v>32</v>
      </c>
      <c r="I47" s="28" t="n">
        <v>32</v>
      </c>
      <c r="J47" s="28" t="n">
        <v>2</v>
      </c>
      <c r="K47" s="28" t="n">
        <v>170</v>
      </c>
      <c r="L47" s="28" t="n">
        <v>303</v>
      </c>
      <c r="M47" s="28" t="n">
        <v>9</v>
      </c>
    </row>
    <row r="48" customFormat="false" ht="12.8" hidden="false" customHeight="false" outlineLevel="0" collapsed="false">
      <c r="A48" s="5" t="s">
        <v>103</v>
      </c>
      <c r="B48" s="5" t="n">
        <v>5</v>
      </c>
      <c r="C48" s="5" t="n">
        <v>3600</v>
      </c>
      <c r="D48" s="5" t="n">
        <v>100</v>
      </c>
      <c r="E48" s="5" t="n">
        <v>1844</v>
      </c>
      <c r="F48" s="28" t="n">
        <v>104.737</v>
      </c>
      <c r="G48" s="28" t="s">
        <v>51</v>
      </c>
      <c r="H48" s="28" t="n">
        <v>90</v>
      </c>
      <c r="I48" s="28" t="n">
        <v>90</v>
      </c>
      <c r="J48" s="28" t="n">
        <v>10</v>
      </c>
      <c r="K48" s="28" t="n">
        <v>500</v>
      </c>
      <c r="L48" s="28" t="n">
        <v>8787</v>
      </c>
      <c r="M48" s="28" t="n">
        <v>21</v>
      </c>
    </row>
    <row r="49" customFormat="false" ht="12.8" hidden="false" customHeight="false" outlineLevel="0" collapsed="false">
      <c r="A49" s="5" t="s">
        <v>104</v>
      </c>
      <c r="B49" s="5" t="n">
        <v>5</v>
      </c>
      <c r="C49" s="5" t="n">
        <v>3600</v>
      </c>
      <c r="D49" s="5" t="n">
        <v>100</v>
      </c>
      <c r="E49" s="5" t="n">
        <v>2031</v>
      </c>
      <c r="F49" s="28" t="n">
        <v>3600</v>
      </c>
      <c r="G49" s="28" t="s">
        <v>54</v>
      </c>
      <c r="H49" s="28" t="n">
        <v>84.5353</v>
      </c>
      <c r="I49" s="28" t="n">
        <v>34</v>
      </c>
      <c r="J49" s="28" t="n">
        <v>66</v>
      </c>
      <c r="K49" s="28" t="n">
        <v>478</v>
      </c>
      <c r="L49" s="28" t="n">
        <v>16370</v>
      </c>
      <c r="M49" s="28" t="n">
        <v>45541</v>
      </c>
    </row>
    <row r="50" customFormat="false" ht="12.8" hidden="false" customHeight="false" outlineLevel="0" collapsed="false">
      <c r="A50" s="5" t="s">
        <v>105</v>
      </c>
      <c r="B50" s="5" t="n">
        <v>5</v>
      </c>
      <c r="C50" s="5" t="n">
        <v>3600</v>
      </c>
      <c r="D50" s="5" t="n">
        <v>100</v>
      </c>
      <c r="E50" s="5" t="n">
        <v>3090</v>
      </c>
      <c r="F50" s="28" t="n">
        <v>304.153</v>
      </c>
      <c r="G50" s="28" t="s">
        <v>51</v>
      </c>
      <c r="H50" s="28" t="n">
        <v>20</v>
      </c>
      <c r="I50" s="28" t="n">
        <v>20</v>
      </c>
      <c r="J50" s="28" t="n">
        <v>80</v>
      </c>
      <c r="K50" s="28" t="n">
        <v>338</v>
      </c>
      <c r="L50" s="28" t="n">
        <v>2699</v>
      </c>
      <c r="M50" s="28" t="n">
        <v>1089</v>
      </c>
    </row>
    <row r="51" customFormat="false" ht="12.8" hidden="false" customHeight="false" outlineLevel="0" collapsed="false">
      <c r="A51" s="5" t="s">
        <v>106</v>
      </c>
      <c r="B51" s="5" t="n">
        <v>5</v>
      </c>
      <c r="C51" s="5" t="n">
        <v>3600</v>
      </c>
      <c r="D51" s="5" t="n">
        <v>100</v>
      </c>
      <c r="E51" s="5" t="n">
        <v>2550</v>
      </c>
      <c r="F51" s="28" t="n">
        <v>3.95737</v>
      </c>
      <c r="G51" s="28" t="s">
        <v>51</v>
      </c>
      <c r="H51" s="28" t="n">
        <v>34</v>
      </c>
      <c r="I51" s="28" t="n">
        <v>34</v>
      </c>
      <c r="J51" s="28" t="n">
        <v>66</v>
      </c>
      <c r="K51" s="28" t="n">
        <v>36</v>
      </c>
      <c r="L51" s="28" t="n">
        <v>6</v>
      </c>
      <c r="M51" s="28" t="n">
        <v>1</v>
      </c>
    </row>
    <row r="52" customFormat="false" ht="12.8" hidden="false" customHeight="false" outlineLevel="0" collapsed="false">
      <c r="A52" s="5" t="s">
        <v>107</v>
      </c>
      <c r="B52" s="5" t="n">
        <v>5</v>
      </c>
      <c r="C52" s="5" t="n">
        <v>3600</v>
      </c>
      <c r="D52" s="5" t="n">
        <v>100</v>
      </c>
      <c r="E52" s="5" t="n">
        <v>1766</v>
      </c>
      <c r="F52" s="28" t="n">
        <v>3600</v>
      </c>
      <c r="G52" s="28" t="s">
        <v>54</v>
      </c>
      <c r="H52" s="28" t="n">
        <v>72.9804</v>
      </c>
      <c r="I52" s="28" t="n">
        <v>44</v>
      </c>
      <c r="J52" s="28" t="n">
        <v>56</v>
      </c>
      <c r="K52" s="28" t="n">
        <v>442</v>
      </c>
      <c r="L52" s="28" t="n">
        <v>11907</v>
      </c>
      <c r="M52" s="28" t="n">
        <v>72114</v>
      </c>
    </row>
    <row r="53" customFormat="false" ht="12.8" hidden="false" customHeight="false" outlineLevel="0" collapsed="false">
      <c r="A53" s="5" t="s">
        <v>108</v>
      </c>
      <c r="B53" s="5" t="n">
        <v>5</v>
      </c>
      <c r="C53" s="5" t="n">
        <v>3600</v>
      </c>
      <c r="D53" s="5" t="n">
        <v>100</v>
      </c>
      <c r="E53" s="5" t="n">
        <v>2956</v>
      </c>
      <c r="F53" s="28" t="n">
        <v>439.93</v>
      </c>
      <c r="G53" s="28" t="s">
        <v>51</v>
      </c>
      <c r="H53" s="28" t="n">
        <v>85</v>
      </c>
      <c r="I53" s="28" t="n">
        <v>85</v>
      </c>
      <c r="J53" s="28" t="n">
        <v>15</v>
      </c>
      <c r="K53" s="28" t="n">
        <v>474</v>
      </c>
      <c r="L53" s="28" t="n">
        <v>13326</v>
      </c>
      <c r="M53" s="28" t="n">
        <v>693</v>
      </c>
    </row>
    <row r="54" customFormat="false" ht="12.8" hidden="false" customHeight="false" outlineLevel="0" collapsed="false">
      <c r="A54" s="5" t="s">
        <v>109</v>
      </c>
      <c r="B54" s="5" t="n">
        <v>5</v>
      </c>
      <c r="C54" s="5" t="n">
        <v>3600</v>
      </c>
      <c r="D54" s="5" t="n">
        <v>100</v>
      </c>
      <c r="E54" s="5" t="n">
        <v>3039</v>
      </c>
      <c r="F54" s="28" t="n">
        <v>69.583</v>
      </c>
      <c r="G54" s="28" t="s">
        <v>51</v>
      </c>
      <c r="H54" s="28" t="n">
        <v>96</v>
      </c>
      <c r="I54" s="28" t="n">
        <v>96</v>
      </c>
      <c r="J54" s="28" t="n">
        <v>4</v>
      </c>
      <c r="K54" s="28" t="n">
        <v>476</v>
      </c>
      <c r="L54" s="28" t="n">
        <v>55</v>
      </c>
      <c r="M54" s="28" t="n">
        <v>9</v>
      </c>
    </row>
    <row r="55" customFormat="false" ht="12.8" hidden="false" customHeight="false" outlineLevel="0" collapsed="false">
      <c r="A55" s="5" t="s">
        <v>110</v>
      </c>
      <c r="B55" s="5" t="n">
        <v>5</v>
      </c>
      <c r="C55" s="5" t="n">
        <v>3600</v>
      </c>
      <c r="D55" s="5" t="n">
        <v>100</v>
      </c>
      <c r="E55" s="5" t="n">
        <v>2934</v>
      </c>
      <c r="F55" s="28" t="n">
        <v>104.604</v>
      </c>
      <c r="G55" s="28" t="s">
        <v>51</v>
      </c>
      <c r="H55" s="28" t="n">
        <v>96</v>
      </c>
      <c r="I55" s="28" t="n">
        <v>96</v>
      </c>
      <c r="J55" s="28" t="n">
        <v>4</v>
      </c>
      <c r="K55" s="28" t="n">
        <v>476</v>
      </c>
      <c r="L55" s="28" t="n">
        <v>13888</v>
      </c>
      <c r="M55" s="28" t="n">
        <v>3</v>
      </c>
    </row>
    <row r="56" customFormat="false" ht="12.8" hidden="false" customHeight="false" outlineLevel="0" collapsed="false">
      <c r="A56" s="5" t="s">
        <v>111</v>
      </c>
      <c r="B56" s="5" t="n">
        <v>5</v>
      </c>
      <c r="C56" s="5" t="n">
        <v>3600</v>
      </c>
      <c r="D56" s="5" t="n">
        <v>120</v>
      </c>
      <c r="E56" s="5" t="n">
        <v>2972</v>
      </c>
      <c r="F56" s="28" t="n">
        <v>259.111</v>
      </c>
      <c r="G56" s="28" t="s">
        <v>51</v>
      </c>
      <c r="H56" s="28" t="n">
        <v>110</v>
      </c>
      <c r="I56" s="28" t="n">
        <v>110</v>
      </c>
      <c r="J56" s="28" t="n">
        <v>10</v>
      </c>
      <c r="K56" s="28" t="n">
        <v>600</v>
      </c>
      <c r="L56" s="28" t="n">
        <v>9118</v>
      </c>
      <c r="M56" s="28" t="n">
        <v>203</v>
      </c>
    </row>
    <row r="57" customFormat="false" ht="12.8" hidden="false" customHeight="false" outlineLevel="0" collapsed="false">
      <c r="A57" s="5" t="s">
        <v>112</v>
      </c>
      <c r="B57" s="5" t="n">
        <v>5</v>
      </c>
      <c r="C57" s="5" t="n">
        <v>3600</v>
      </c>
      <c r="D57" s="5" t="n">
        <v>120</v>
      </c>
      <c r="E57" s="5" t="n">
        <v>4307</v>
      </c>
      <c r="F57" s="28" t="n">
        <v>1575.86</v>
      </c>
      <c r="G57" s="28" t="s">
        <v>51</v>
      </c>
      <c r="H57" s="28" t="n">
        <v>33</v>
      </c>
      <c r="I57" s="28" t="n">
        <v>33</v>
      </c>
      <c r="J57" s="28" t="n">
        <v>87</v>
      </c>
      <c r="K57" s="28" t="n">
        <v>472</v>
      </c>
      <c r="L57" s="28" t="n">
        <v>4868</v>
      </c>
      <c r="M57" s="28" t="n">
        <v>14907</v>
      </c>
    </row>
    <row r="58" customFormat="false" ht="12.8" hidden="false" customHeight="false" outlineLevel="0" collapsed="false">
      <c r="A58" s="5" t="s">
        <v>113</v>
      </c>
      <c r="B58" s="5" t="n">
        <v>5</v>
      </c>
      <c r="C58" s="5" t="n">
        <v>3600</v>
      </c>
      <c r="D58" s="5" t="n">
        <v>120</v>
      </c>
      <c r="E58" s="5" t="n">
        <v>2787</v>
      </c>
      <c r="F58" s="28" t="n">
        <v>3600</v>
      </c>
      <c r="G58" s="28" t="s">
        <v>54</v>
      </c>
      <c r="H58" s="28" t="n">
        <v>107.303</v>
      </c>
      <c r="I58" s="28" t="n">
        <v>40</v>
      </c>
      <c r="J58" s="28" t="n">
        <v>80</v>
      </c>
      <c r="K58" s="28" t="n">
        <v>560</v>
      </c>
      <c r="L58" s="28" t="n">
        <v>22115</v>
      </c>
      <c r="M58" s="28" t="n">
        <v>26791</v>
      </c>
    </row>
    <row r="59" customFormat="false" ht="12.8" hidden="false" customHeight="false" outlineLevel="0" collapsed="false">
      <c r="A59" s="5" t="s">
        <v>114</v>
      </c>
      <c r="B59" s="5" t="n">
        <v>5</v>
      </c>
      <c r="C59" s="5" t="n">
        <v>3600</v>
      </c>
      <c r="D59" s="5" t="n">
        <v>120</v>
      </c>
      <c r="E59" s="5" t="n">
        <v>4626</v>
      </c>
      <c r="F59" s="28" t="n">
        <v>1188.41</v>
      </c>
      <c r="G59" s="28" t="s">
        <v>51</v>
      </c>
      <c r="H59" s="28" t="n">
        <v>29</v>
      </c>
      <c r="I59" s="28" t="n">
        <v>29</v>
      </c>
      <c r="J59" s="28" t="n">
        <v>91</v>
      </c>
      <c r="K59" s="28" t="n">
        <v>443</v>
      </c>
      <c r="L59" s="28" t="n">
        <v>17411</v>
      </c>
      <c r="M59" s="28" t="n">
        <v>3302</v>
      </c>
    </row>
    <row r="60" customFormat="false" ht="12.8" hidden="false" customHeight="false" outlineLevel="0" collapsed="false">
      <c r="A60" s="5" t="s">
        <v>115</v>
      </c>
      <c r="B60" s="5" t="n">
        <v>5</v>
      </c>
      <c r="C60" s="5" t="n">
        <v>3600</v>
      </c>
      <c r="D60" s="5" t="n">
        <v>120</v>
      </c>
      <c r="E60" s="5" t="n">
        <v>3273</v>
      </c>
      <c r="F60" s="28" t="n">
        <v>1302.84</v>
      </c>
      <c r="G60" s="28" t="s">
        <v>51</v>
      </c>
      <c r="H60" s="28" t="n">
        <v>44</v>
      </c>
      <c r="I60" s="28" t="n">
        <v>44</v>
      </c>
      <c r="J60" s="28" t="n">
        <v>76</v>
      </c>
      <c r="K60" s="28" t="n">
        <v>337</v>
      </c>
      <c r="L60" s="28" t="n">
        <v>5509</v>
      </c>
      <c r="M60" s="28" t="n">
        <v>31474</v>
      </c>
    </row>
    <row r="61" customFormat="false" ht="12.8" hidden="false" customHeight="false" outlineLevel="0" collapsed="false">
      <c r="A61" s="5" t="s">
        <v>116</v>
      </c>
      <c r="B61" s="5" t="n">
        <v>5</v>
      </c>
      <c r="C61" s="5" t="n">
        <v>3600</v>
      </c>
      <c r="D61" s="5" t="n">
        <v>120</v>
      </c>
      <c r="E61" s="5" t="n">
        <v>3387</v>
      </c>
      <c r="F61" s="28" t="n">
        <v>65.2954</v>
      </c>
      <c r="G61" s="28" t="s">
        <v>51</v>
      </c>
      <c r="H61" s="28" t="n">
        <v>117</v>
      </c>
      <c r="I61" s="28" t="n">
        <v>117</v>
      </c>
      <c r="J61" s="28" t="n">
        <v>3</v>
      </c>
      <c r="K61" s="28" t="n">
        <v>576</v>
      </c>
      <c r="L61" s="28" t="n">
        <v>3988</v>
      </c>
      <c r="M61" s="28" t="n">
        <v>6</v>
      </c>
    </row>
    <row r="62" customFormat="false" ht="12.8" hidden="false" customHeight="false" outlineLevel="0" collapsed="false">
      <c r="A62" s="5" t="s">
        <v>117</v>
      </c>
      <c r="B62" s="5" t="n">
        <v>5</v>
      </c>
      <c r="C62" s="5" t="n">
        <v>3600</v>
      </c>
      <c r="D62" s="5" t="n">
        <v>125</v>
      </c>
      <c r="E62" s="5" t="n">
        <v>390</v>
      </c>
      <c r="F62" s="28" t="n">
        <v>2392.92</v>
      </c>
      <c r="G62" s="28" t="s">
        <v>51</v>
      </c>
      <c r="H62" s="28" t="n">
        <v>117</v>
      </c>
      <c r="I62" s="28" t="n">
        <v>117</v>
      </c>
      <c r="J62" s="28" t="n">
        <v>8</v>
      </c>
      <c r="K62" s="28" t="n">
        <v>592</v>
      </c>
      <c r="L62" s="28" t="n">
        <v>1789</v>
      </c>
      <c r="M62" s="28" t="n">
        <v>77097</v>
      </c>
    </row>
    <row r="63" customFormat="false" ht="12.8" hidden="false" customHeight="false" outlineLevel="0" collapsed="false">
      <c r="A63" s="5" t="s">
        <v>118</v>
      </c>
      <c r="B63" s="5" t="n">
        <v>5</v>
      </c>
      <c r="C63" s="5" t="n">
        <v>3600</v>
      </c>
      <c r="D63" s="5" t="n">
        <v>125</v>
      </c>
      <c r="E63" s="5" t="n">
        <v>2701</v>
      </c>
      <c r="F63" s="28" t="n">
        <v>3600</v>
      </c>
      <c r="G63" s="28" t="s">
        <v>54</v>
      </c>
      <c r="H63" s="28" t="n">
        <v>106.528</v>
      </c>
      <c r="I63" s="28" t="n">
        <v>83</v>
      </c>
      <c r="J63" s="28" t="n">
        <v>42</v>
      </c>
      <c r="K63" s="28" t="n">
        <v>545</v>
      </c>
      <c r="L63" s="28" t="n">
        <v>13181</v>
      </c>
      <c r="M63" s="28" t="n">
        <v>24354</v>
      </c>
    </row>
    <row r="64" customFormat="false" ht="12.8" hidden="false" customHeight="false" outlineLevel="0" collapsed="false">
      <c r="A64" s="5" t="s">
        <v>119</v>
      </c>
      <c r="B64" s="5" t="n">
        <v>5</v>
      </c>
      <c r="C64" s="5" t="n">
        <v>3600</v>
      </c>
      <c r="D64" s="5" t="n">
        <v>125</v>
      </c>
      <c r="E64" s="5" t="n">
        <v>1257</v>
      </c>
      <c r="F64" s="28" t="n">
        <v>3600</v>
      </c>
      <c r="G64" s="28" t="s">
        <v>54</v>
      </c>
      <c r="H64" s="28" t="n">
        <v>116.48</v>
      </c>
      <c r="I64" s="28" t="n">
        <v>87</v>
      </c>
      <c r="J64" s="28" t="n">
        <v>39</v>
      </c>
      <c r="K64" s="28" t="n">
        <v>595</v>
      </c>
      <c r="L64" s="28" t="n">
        <v>7000</v>
      </c>
      <c r="M64" s="28" t="n">
        <v>10131</v>
      </c>
    </row>
    <row r="65" customFormat="false" ht="12.8" hidden="false" customHeight="false" outlineLevel="0" collapsed="false">
      <c r="A65" s="5" t="s">
        <v>120</v>
      </c>
      <c r="B65" s="5" t="n">
        <v>5</v>
      </c>
      <c r="C65" s="5" t="n">
        <v>3600</v>
      </c>
      <c r="D65" s="5" t="n">
        <v>125</v>
      </c>
      <c r="E65" s="5" t="n">
        <v>1022</v>
      </c>
      <c r="F65" s="28" t="n">
        <v>3600</v>
      </c>
      <c r="G65" s="28" t="s">
        <v>54</v>
      </c>
      <c r="H65" s="28" t="n">
        <v>116.925</v>
      </c>
      <c r="I65" s="28" t="n">
        <v>97</v>
      </c>
      <c r="J65" s="28" t="n">
        <v>28</v>
      </c>
      <c r="K65" s="28" t="n">
        <v>595</v>
      </c>
      <c r="L65" s="28" t="n">
        <v>5858</v>
      </c>
      <c r="M65" s="28" t="n">
        <v>36238</v>
      </c>
    </row>
    <row r="66" customFormat="false" ht="12.8" hidden="false" customHeight="false" outlineLevel="0" collapsed="false">
      <c r="A66" s="5" t="s">
        <v>121</v>
      </c>
      <c r="B66" s="5" t="n">
        <v>5</v>
      </c>
      <c r="C66" s="5" t="n">
        <v>3600</v>
      </c>
      <c r="D66" s="5" t="n">
        <v>125</v>
      </c>
      <c r="E66" s="5" t="n">
        <v>943</v>
      </c>
      <c r="F66" s="28" t="n">
        <v>3600</v>
      </c>
      <c r="G66" s="28" t="s">
        <v>54</v>
      </c>
      <c r="H66" s="28" t="n">
        <v>118.166</v>
      </c>
      <c r="I66" s="28" t="n">
        <v>101</v>
      </c>
      <c r="J66" s="28" t="n">
        <v>24</v>
      </c>
      <c r="K66" s="28" t="n">
        <v>599</v>
      </c>
      <c r="L66" s="28" t="n">
        <v>5234</v>
      </c>
      <c r="M66" s="28" t="n">
        <v>64365</v>
      </c>
    </row>
    <row r="67" customFormat="false" ht="12.8" hidden="false" customHeight="false" outlineLevel="0" collapsed="false">
      <c r="A67" s="5" t="s">
        <v>122</v>
      </c>
      <c r="B67" s="5" t="n">
        <v>5</v>
      </c>
      <c r="C67" s="5" t="n">
        <v>3600</v>
      </c>
      <c r="D67" s="5" t="n">
        <v>125</v>
      </c>
      <c r="E67" s="5" t="n">
        <v>2982</v>
      </c>
      <c r="F67" s="28" t="n">
        <v>3600</v>
      </c>
      <c r="G67" s="28" t="s">
        <v>54</v>
      </c>
      <c r="H67" s="28" t="n">
        <v>110.667</v>
      </c>
      <c r="I67" s="28" t="n">
        <v>60</v>
      </c>
      <c r="J67" s="28" t="n">
        <v>65</v>
      </c>
      <c r="K67" s="28" t="n">
        <v>586</v>
      </c>
      <c r="L67" s="28" t="n">
        <v>16143</v>
      </c>
      <c r="M67" s="28" t="n">
        <v>17810</v>
      </c>
    </row>
    <row r="68" customFormat="false" ht="12.8" hidden="false" customHeight="false" outlineLevel="0" collapsed="false">
      <c r="A68" s="5" t="s">
        <v>123</v>
      </c>
      <c r="B68" s="5" t="n">
        <v>5</v>
      </c>
      <c r="C68" s="5" t="n">
        <v>3600</v>
      </c>
      <c r="D68" s="5" t="n">
        <v>125</v>
      </c>
      <c r="E68" s="5" t="n">
        <v>3392</v>
      </c>
      <c r="F68" s="28" t="n">
        <v>185.788</v>
      </c>
      <c r="G68" s="28" t="s">
        <v>51</v>
      </c>
      <c r="H68" s="28" t="n">
        <v>109</v>
      </c>
      <c r="I68" s="28" t="n">
        <v>109</v>
      </c>
      <c r="J68" s="28" t="n">
        <v>16</v>
      </c>
      <c r="K68" s="28" t="n">
        <v>445</v>
      </c>
      <c r="L68" s="28" t="n">
        <v>1656</v>
      </c>
      <c r="M68" s="28" t="n">
        <v>147</v>
      </c>
    </row>
    <row r="69" customFormat="false" ht="12.8" hidden="false" customHeight="false" outlineLevel="0" collapsed="false">
      <c r="A69" s="5" t="s">
        <v>124</v>
      </c>
      <c r="B69" s="5" t="n">
        <v>5</v>
      </c>
      <c r="C69" s="5" t="n">
        <v>3600</v>
      </c>
      <c r="D69" s="5" t="n">
        <v>125</v>
      </c>
      <c r="E69" s="5" t="n">
        <v>1177</v>
      </c>
      <c r="F69" s="28" t="n">
        <v>3600</v>
      </c>
      <c r="G69" s="28" t="s">
        <v>54</v>
      </c>
      <c r="H69" s="28" t="n">
        <v>115.686</v>
      </c>
      <c r="I69" s="28" t="n">
        <v>98</v>
      </c>
      <c r="J69" s="28" t="n">
        <v>27</v>
      </c>
      <c r="K69" s="28" t="n">
        <v>578</v>
      </c>
      <c r="L69" s="28" t="n">
        <v>5678</v>
      </c>
      <c r="M69" s="28" t="n">
        <v>22031</v>
      </c>
    </row>
    <row r="70" customFormat="false" ht="12.8" hidden="false" customHeight="false" outlineLevel="0" collapsed="false">
      <c r="A70" s="5" t="s">
        <v>125</v>
      </c>
      <c r="B70" s="5" t="n">
        <v>5</v>
      </c>
      <c r="C70" s="5" t="n">
        <v>3600</v>
      </c>
      <c r="D70" s="5" t="n">
        <v>125</v>
      </c>
      <c r="E70" s="5" t="n">
        <v>1218</v>
      </c>
      <c r="F70" s="28" t="n">
        <v>3600</v>
      </c>
      <c r="G70" s="28" t="s">
        <v>54</v>
      </c>
      <c r="H70" s="28" t="n">
        <v>117.069</v>
      </c>
      <c r="I70" s="28" t="n">
        <v>98</v>
      </c>
      <c r="J70" s="28" t="n">
        <v>27</v>
      </c>
      <c r="K70" s="28" t="n">
        <v>585</v>
      </c>
      <c r="L70" s="28" t="n">
        <v>6367</v>
      </c>
      <c r="M70" s="28" t="n">
        <v>19466</v>
      </c>
    </row>
    <row r="71" customFormat="false" ht="12.8" hidden="false" customHeight="false" outlineLevel="0" collapsed="false">
      <c r="A71" s="5" t="s">
        <v>126</v>
      </c>
      <c r="B71" s="5" t="n">
        <v>5</v>
      </c>
      <c r="C71" s="5" t="n">
        <v>3600</v>
      </c>
      <c r="D71" s="5" t="n">
        <v>125</v>
      </c>
      <c r="E71" s="5" t="n">
        <v>444</v>
      </c>
      <c r="F71" s="28" t="n">
        <v>259.976</v>
      </c>
      <c r="G71" s="28" t="s">
        <v>51</v>
      </c>
      <c r="H71" s="28" t="n">
        <v>120</v>
      </c>
      <c r="I71" s="28" t="n">
        <v>120</v>
      </c>
      <c r="J71" s="28" t="n">
        <v>5</v>
      </c>
      <c r="K71" s="28" t="n">
        <v>615</v>
      </c>
      <c r="L71" s="28" t="n">
        <v>2554</v>
      </c>
      <c r="M71" s="28" t="n">
        <v>3362</v>
      </c>
    </row>
    <row r="72" customFormat="false" ht="12.8" hidden="false" customHeight="false" outlineLevel="0" collapsed="false">
      <c r="A72" s="5" t="s">
        <v>127</v>
      </c>
      <c r="B72" s="5" t="n">
        <v>5</v>
      </c>
      <c r="C72" s="5" t="n">
        <v>3600</v>
      </c>
      <c r="D72" s="5" t="n">
        <v>125</v>
      </c>
      <c r="E72" s="5" t="n">
        <v>386</v>
      </c>
      <c r="F72" s="28" t="n">
        <v>128.035</v>
      </c>
      <c r="G72" s="28" t="s">
        <v>51</v>
      </c>
      <c r="H72" s="28" t="n">
        <v>120</v>
      </c>
      <c r="I72" s="28" t="n">
        <v>120</v>
      </c>
      <c r="J72" s="28" t="n">
        <v>5</v>
      </c>
      <c r="K72" s="28" t="n">
        <v>615</v>
      </c>
      <c r="L72" s="28" t="n">
        <v>1335</v>
      </c>
      <c r="M72" s="28" t="n">
        <v>916</v>
      </c>
    </row>
    <row r="73" customFormat="false" ht="12.8" hidden="false" customHeight="false" outlineLevel="0" collapsed="false">
      <c r="A73" s="5" t="s">
        <v>128</v>
      </c>
      <c r="B73" s="5" t="n">
        <v>5</v>
      </c>
      <c r="C73" s="5" t="n">
        <v>3600</v>
      </c>
      <c r="D73" s="5" t="n">
        <v>80</v>
      </c>
      <c r="E73" s="5" t="n">
        <v>1201</v>
      </c>
      <c r="F73" s="28" t="n">
        <v>63.9855</v>
      </c>
      <c r="G73" s="28" t="s">
        <v>51</v>
      </c>
      <c r="H73" s="28" t="n">
        <v>70</v>
      </c>
      <c r="I73" s="28" t="n">
        <v>70</v>
      </c>
      <c r="J73" s="28" t="n">
        <v>10</v>
      </c>
      <c r="K73" s="28" t="n">
        <v>400</v>
      </c>
      <c r="L73" s="28" t="n">
        <v>5633</v>
      </c>
      <c r="M73" s="28" t="n">
        <v>21</v>
      </c>
    </row>
    <row r="74" customFormat="false" ht="12.8" hidden="false" customHeight="false" outlineLevel="0" collapsed="false">
      <c r="A74" s="5" t="s">
        <v>129</v>
      </c>
      <c r="B74" s="5" t="n">
        <v>5</v>
      </c>
      <c r="C74" s="5" t="n">
        <v>3600</v>
      </c>
      <c r="D74" s="5" t="n">
        <v>80</v>
      </c>
      <c r="E74" s="5" t="n">
        <v>1201</v>
      </c>
      <c r="F74" s="28" t="n">
        <v>1091.53</v>
      </c>
      <c r="G74" s="28" t="s">
        <v>51</v>
      </c>
      <c r="H74" s="28" t="n">
        <v>28</v>
      </c>
      <c r="I74" s="28" t="n">
        <v>28</v>
      </c>
      <c r="J74" s="28" t="n">
        <v>52</v>
      </c>
      <c r="K74" s="28" t="n">
        <v>360</v>
      </c>
      <c r="L74" s="28" t="n">
        <v>6520</v>
      </c>
      <c r="M74" s="28" t="n">
        <v>26026</v>
      </c>
    </row>
    <row r="75" customFormat="false" ht="12.8" hidden="false" customHeight="false" outlineLevel="0" collapsed="false">
      <c r="A75" s="5" t="s">
        <v>130</v>
      </c>
      <c r="B75" s="5" t="n">
        <v>5</v>
      </c>
      <c r="C75" s="5" t="n">
        <v>3600</v>
      </c>
      <c r="D75" s="5" t="n">
        <v>80</v>
      </c>
      <c r="E75" s="5" t="n">
        <v>1272</v>
      </c>
      <c r="F75" s="28" t="n">
        <v>1421.18</v>
      </c>
      <c r="G75" s="28" t="s">
        <v>51</v>
      </c>
      <c r="H75" s="28" t="n">
        <v>32</v>
      </c>
      <c r="I75" s="28" t="n">
        <v>32</v>
      </c>
      <c r="J75" s="28" t="n">
        <v>48</v>
      </c>
      <c r="K75" s="28" t="n">
        <v>377</v>
      </c>
      <c r="L75" s="28" t="n">
        <v>5316</v>
      </c>
      <c r="M75" s="28" t="n">
        <v>34458</v>
      </c>
    </row>
    <row r="76" customFormat="false" ht="12.8" hidden="false" customHeight="false" outlineLevel="0" collapsed="false">
      <c r="A76" s="5" t="s">
        <v>131</v>
      </c>
      <c r="B76" s="5" t="n">
        <v>5</v>
      </c>
      <c r="C76" s="5" t="n">
        <v>3600</v>
      </c>
      <c r="D76" s="5" t="n">
        <v>80</v>
      </c>
      <c r="E76" s="5" t="n">
        <v>1786</v>
      </c>
      <c r="F76" s="28" t="n">
        <v>217.462</v>
      </c>
      <c r="G76" s="28" t="s">
        <v>51</v>
      </c>
      <c r="H76" s="28" t="n">
        <v>65</v>
      </c>
      <c r="I76" s="28" t="n">
        <v>65</v>
      </c>
      <c r="J76" s="28" t="n">
        <v>15</v>
      </c>
      <c r="K76" s="28" t="n">
        <v>390</v>
      </c>
      <c r="L76" s="28" t="n">
        <v>1897</v>
      </c>
      <c r="M76" s="28" t="n">
        <v>690</v>
      </c>
    </row>
    <row r="77" customFormat="false" ht="12.8" hidden="false" customHeight="false" outlineLevel="0" collapsed="false">
      <c r="A77" s="5" t="s">
        <v>132</v>
      </c>
      <c r="B77" s="5" t="n">
        <v>5</v>
      </c>
      <c r="C77" s="5" t="n">
        <v>3600</v>
      </c>
      <c r="D77" s="5" t="n">
        <v>80</v>
      </c>
      <c r="E77" s="5" t="n">
        <v>1848</v>
      </c>
      <c r="F77" s="28" t="n">
        <v>88.925</v>
      </c>
      <c r="G77" s="28" t="s">
        <v>51</v>
      </c>
      <c r="H77" s="28" t="n">
        <v>76</v>
      </c>
      <c r="I77" s="28" t="n">
        <v>76</v>
      </c>
      <c r="J77" s="28" t="n">
        <v>4</v>
      </c>
      <c r="K77" s="28" t="n">
        <v>335</v>
      </c>
      <c r="L77" s="28" t="n">
        <v>7560</v>
      </c>
      <c r="M77" s="28" t="n">
        <v>1</v>
      </c>
    </row>
    <row r="78" customFormat="false" ht="12.8" hidden="false" customHeight="false" outlineLevel="0" collapsed="false">
      <c r="A78" s="5" t="s">
        <v>133</v>
      </c>
      <c r="B78" s="5" t="n">
        <v>5</v>
      </c>
      <c r="C78" s="5" t="n">
        <v>3600</v>
      </c>
      <c r="D78" s="5" t="n">
        <v>80</v>
      </c>
      <c r="E78" s="5" t="n">
        <v>1739</v>
      </c>
      <c r="F78" s="28" t="n">
        <v>62.5938</v>
      </c>
      <c r="G78" s="28" t="s">
        <v>51</v>
      </c>
      <c r="H78" s="28" t="n">
        <v>76</v>
      </c>
      <c r="I78" s="28" t="n">
        <v>76</v>
      </c>
      <c r="J78" s="28" t="n">
        <v>4</v>
      </c>
      <c r="K78" s="28" t="n">
        <v>337</v>
      </c>
      <c r="L78" s="28" t="n">
        <v>7132</v>
      </c>
      <c r="M78" s="28" t="n">
        <v>5</v>
      </c>
    </row>
    <row r="79" customFormat="false" ht="12.8" hidden="false" customHeight="false" outlineLevel="0" collapsed="false">
      <c r="A79" s="5" t="s">
        <v>134</v>
      </c>
      <c r="B79" s="5" t="n">
        <v>5</v>
      </c>
      <c r="C79" s="5" t="n">
        <v>3600</v>
      </c>
      <c r="D79" s="5" t="n">
        <v>77</v>
      </c>
      <c r="E79" s="5" t="n">
        <v>254</v>
      </c>
      <c r="F79" s="28" t="n">
        <v>13.0705</v>
      </c>
      <c r="G79" s="28" t="s">
        <v>51</v>
      </c>
      <c r="H79" s="28" t="n">
        <v>76</v>
      </c>
      <c r="I79" s="28" t="n">
        <v>76</v>
      </c>
      <c r="J79" s="28" t="n">
        <v>1</v>
      </c>
      <c r="K79" s="28" t="n">
        <v>385</v>
      </c>
      <c r="L79" s="28" t="n">
        <v>1374</v>
      </c>
      <c r="M79" s="28" t="n">
        <v>2</v>
      </c>
    </row>
    <row r="80" customFormat="false" ht="12.8" hidden="false" customHeight="false" outlineLevel="0" collapsed="false">
      <c r="A80" s="5" t="s">
        <v>135</v>
      </c>
      <c r="B80" s="5" t="n">
        <v>5</v>
      </c>
      <c r="C80" s="5" t="n">
        <v>3600</v>
      </c>
      <c r="D80" s="5" t="n">
        <v>147</v>
      </c>
      <c r="E80" s="5" t="n">
        <v>2837</v>
      </c>
      <c r="F80" s="28" t="n">
        <v>3600</v>
      </c>
      <c r="G80" s="28" t="s">
        <v>54</v>
      </c>
      <c r="H80" s="28" t="n">
        <v>139.628</v>
      </c>
      <c r="I80" s="28" t="n">
        <v>86</v>
      </c>
      <c r="J80" s="28" t="n">
        <v>61</v>
      </c>
      <c r="K80" s="28" t="n">
        <v>696</v>
      </c>
      <c r="L80" s="28" t="n">
        <v>14827</v>
      </c>
      <c r="M80" s="28" t="n">
        <v>1093</v>
      </c>
    </row>
    <row r="81" customFormat="false" ht="12.8" hidden="false" customHeight="false" outlineLevel="0" collapsed="false">
      <c r="A81" s="5" t="s">
        <v>136</v>
      </c>
      <c r="B81" s="5" t="n">
        <v>5</v>
      </c>
      <c r="C81" s="5" t="n">
        <v>3600</v>
      </c>
      <c r="D81" s="5" t="n">
        <v>128</v>
      </c>
      <c r="E81" s="5" t="n">
        <v>3216</v>
      </c>
      <c r="F81" s="28" t="n">
        <v>3600</v>
      </c>
      <c r="G81" s="28" t="s">
        <v>54</v>
      </c>
      <c r="H81" s="28" t="n">
        <v>120.946</v>
      </c>
      <c r="I81" s="28" t="n">
        <v>75</v>
      </c>
      <c r="J81" s="28" t="n">
        <v>53</v>
      </c>
      <c r="K81" s="28" t="n">
        <v>617</v>
      </c>
      <c r="L81" s="28" t="n">
        <v>18233</v>
      </c>
      <c r="M81" s="28" t="n">
        <v>9150</v>
      </c>
    </row>
    <row r="82" customFormat="false" ht="12.8" hidden="false" customHeight="false" outlineLevel="0" collapsed="false">
      <c r="A82" s="5" t="s">
        <v>137</v>
      </c>
      <c r="B82" s="5" t="n">
        <v>5</v>
      </c>
      <c r="C82" s="5" t="n">
        <v>3600</v>
      </c>
      <c r="D82" s="5" t="n">
        <v>128</v>
      </c>
      <c r="E82" s="5" t="n">
        <v>5198</v>
      </c>
      <c r="F82" s="28" t="n">
        <v>3600</v>
      </c>
      <c r="G82" s="28" t="s">
        <v>54</v>
      </c>
      <c r="H82" s="28" t="n">
        <v>105.529</v>
      </c>
      <c r="I82" s="28" t="n">
        <v>13</v>
      </c>
      <c r="J82" s="28" t="n">
        <v>115</v>
      </c>
      <c r="K82" s="28" t="n">
        <v>605</v>
      </c>
      <c r="L82" s="28" t="n">
        <v>31431</v>
      </c>
      <c r="M82" s="28" t="n">
        <v>6869</v>
      </c>
    </row>
    <row r="83" customFormat="false" ht="12.8" hidden="false" customHeight="false" outlineLevel="0" collapsed="false">
      <c r="A83" s="5" t="s">
        <v>138</v>
      </c>
      <c r="B83" s="5" t="n">
        <v>5</v>
      </c>
      <c r="C83" s="5" t="n">
        <v>3600</v>
      </c>
      <c r="D83" s="5" t="n">
        <v>128</v>
      </c>
      <c r="E83" s="5" t="n">
        <v>387</v>
      </c>
      <c r="F83" s="28" t="n">
        <v>1.29219</v>
      </c>
      <c r="G83" s="28" t="s">
        <v>51</v>
      </c>
      <c r="H83" s="28" t="n">
        <v>128</v>
      </c>
      <c r="I83" s="28" t="n">
        <v>128</v>
      </c>
      <c r="J83" s="28" t="n">
        <v>0</v>
      </c>
      <c r="K83" s="28" t="n">
        <v>630</v>
      </c>
      <c r="L83" s="28" t="n">
        <v>2057</v>
      </c>
      <c r="M83" s="28" t="n">
        <v>1</v>
      </c>
    </row>
    <row r="84" customFormat="false" ht="12.8" hidden="false" customHeight="false" outlineLevel="0" collapsed="false">
      <c r="A84" s="5" t="s">
        <v>139</v>
      </c>
      <c r="B84" s="5" t="n">
        <v>5</v>
      </c>
      <c r="C84" s="5" t="n">
        <v>3600</v>
      </c>
      <c r="D84" s="5" t="n">
        <v>128</v>
      </c>
      <c r="E84" s="5" t="n">
        <v>1170</v>
      </c>
      <c r="F84" s="28" t="n">
        <v>995.163</v>
      </c>
      <c r="G84" s="28" t="s">
        <v>51</v>
      </c>
      <c r="H84" s="28" t="n">
        <v>121</v>
      </c>
      <c r="I84" s="28" t="n">
        <v>121</v>
      </c>
      <c r="J84" s="28" t="n">
        <v>7</v>
      </c>
      <c r="K84" s="28" t="n">
        <v>629</v>
      </c>
      <c r="L84" s="28" t="n">
        <v>2725</v>
      </c>
      <c r="M84" s="28" t="n">
        <v>4036</v>
      </c>
    </row>
    <row r="85" customFormat="false" ht="12.8" hidden="false" customHeight="false" outlineLevel="0" collapsed="false">
      <c r="A85" s="5" t="s">
        <v>140</v>
      </c>
      <c r="B85" s="5" t="n">
        <v>5</v>
      </c>
      <c r="C85" s="5" t="n">
        <v>3600</v>
      </c>
      <c r="D85" s="5" t="n">
        <v>128</v>
      </c>
      <c r="E85" s="5" t="n">
        <v>2113</v>
      </c>
      <c r="F85" s="28" t="n">
        <v>3600</v>
      </c>
      <c r="G85" s="28" t="s">
        <v>54</v>
      </c>
      <c r="H85" s="28" t="n">
        <v>118.961</v>
      </c>
      <c r="I85" s="28" t="n">
        <v>108</v>
      </c>
      <c r="J85" s="28" t="n">
        <v>20</v>
      </c>
      <c r="K85" s="28" t="n">
        <v>621</v>
      </c>
      <c r="L85" s="28" t="n">
        <v>11379</v>
      </c>
      <c r="M85" s="28" t="n">
        <v>17114</v>
      </c>
    </row>
    <row r="86" customFormat="false" ht="12.8" hidden="false" customHeight="false" outlineLevel="0" collapsed="false">
      <c r="A86" s="5" t="s">
        <v>141</v>
      </c>
      <c r="B86" s="5" t="n">
        <v>5</v>
      </c>
      <c r="C86" s="5" t="n">
        <v>3600</v>
      </c>
      <c r="D86" s="5" t="n">
        <v>100</v>
      </c>
      <c r="E86" s="5" t="n">
        <v>166</v>
      </c>
      <c r="F86" s="28" t="n">
        <v>811.747</v>
      </c>
      <c r="G86" s="28" t="s">
        <v>51</v>
      </c>
      <c r="H86" s="28" t="n">
        <v>95</v>
      </c>
      <c r="I86" s="28" t="n">
        <v>95</v>
      </c>
      <c r="J86" s="28" t="n">
        <v>5</v>
      </c>
      <c r="K86" s="28" t="n">
        <v>481</v>
      </c>
      <c r="L86" s="28" t="n">
        <v>960</v>
      </c>
      <c r="M86" s="28" t="n">
        <v>66072</v>
      </c>
    </row>
    <row r="87" customFormat="false" ht="12.8" hidden="false" customHeight="false" outlineLevel="0" collapsed="false">
      <c r="A87" s="5" t="s">
        <v>142</v>
      </c>
      <c r="B87" s="5" t="n">
        <v>5</v>
      </c>
      <c r="C87" s="5" t="n">
        <v>3600</v>
      </c>
      <c r="D87" s="5" t="n">
        <v>100</v>
      </c>
      <c r="E87" s="5" t="n">
        <v>166</v>
      </c>
      <c r="F87" s="28" t="n">
        <v>790.382</v>
      </c>
      <c r="G87" s="28" t="s">
        <v>51</v>
      </c>
      <c r="H87" s="28" t="n">
        <v>95</v>
      </c>
      <c r="I87" s="28" t="n">
        <v>95</v>
      </c>
      <c r="J87" s="28" t="n">
        <v>5</v>
      </c>
      <c r="K87" s="28" t="n">
        <v>478</v>
      </c>
      <c r="L87" s="28" t="n">
        <v>957</v>
      </c>
      <c r="M87" s="28" t="n">
        <v>56371</v>
      </c>
    </row>
    <row r="88" customFormat="false" ht="12.8" hidden="false" customHeight="false" outlineLevel="0" collapsed="false">
      <c r="A88" s="5" t="s">
        <v>143</v>
      </c>
      <c r="B88" s="5" t="n">
        <v>5</v>
      </c>
      <c r="C88" s="5" t="n">
        <v>3600</v>
      </c>
      <c r="D88" s="5" t="n">
        <v>88</v>
      </c>
      <c r="E88" s="5" t="n">
        <v>146</v>
      </c>
      <c r="F88" s="28" t="n">
        <v>270.49</v>
      </c>
      <c r="G88" s="28" t="s">
        <v>51</v>
      </c>
      <c r="H88" s="28" t="n">
        <v>84</v>
      </c>
      <c r="I88" s="28" t="n">
        <v>84</v>
      </c>
      <c r="J88" s="28" t="n">
        <v>4</v>
      </c>
      <c r="K88" s="28" t="n">
        <v>422</v>
      </c>
      <c r="L88" s="28" t="n">
        <v>1087</v>
      </c>
      <c r="M88" s="28" t="n">
        <v>10289</v>
      </c>
    </row>
    <row r="89" customFormat="false" ht="12.8" hidden="false" customHeight="false" outlineLevel="0" collapsed="false">
      <c r="A89" s="5" t="s">
        <v>144</v>
      </c>
      <c r="B89" s="5" t="n">
        <v>5</v>
      </c>
      <c r="C89" s="5" t="n">
        <v>3600</v>
      </c>
      <c r="D89" s="5" t="n">
        <v>88</v>
      </c>
      <c r="E89" s="5" t="n">
        <v>146</v>
      </c>
      <c r="F89" s="28" t="n">
        <v>171.279</v>
      </c>
      <c r="G89" s="28" t="s">
        <v>51</v>
      </c>
      <c r="H89" s="28" t="n">
        <v>84</v>
      </c>
      <c r="I89" s="28" t="n">
        <v>84</v>
      </c>
      <c r="J89" s="28" t="n">
        <v>4</v>
      </c>
      <c r="K89" s="28" t="n">
        <v>422</v>
      </c>
      <c r="L89" s="28" t="n">
        <v>1290</v>
      </c>
      <c r="M89" s="28" t="n">
        <v>4038</v>
      </c>
    </row>
    <row r="90" customFormat="false" ht="12.8" hidden="false" customHeight="false" outlineLevel="0" collapsed="false">
      <c r="A90" s="5" t="s">
        <v>145</v>
      </c>
      <c r="B90" s="5" t="n">
        <v>5</v>
      </c>
      <c r="C90" s="5" t="n">
        <v>3600</v>
      </c>
      <c r="D90" s="5" t="n">
        <v>188</v>
      </c>
      <c r="E90" s="5" t="n">
        <v>3885</v>
      </c>
      <c r="F90" s="28" t="n">
        <v>2.80087</v>
      </c>
      <c r="G90" s="28" t="s">
        <v>51</v>
      </c>
      <c r="H90" s="28" t="n">
        <v>188</v>
      </c>
      <c r="I90" s="28" t="n">
        <v>188</v>
      </c>
      <c r="J90" s="28" t="n">
        <v>0</v>
      </c>
      <c r="K90" s="28" t="n">
        <v>940</v>
      </c>
      <c r="L90" s="28" t="n">
        <v>19626</v>
      </c>
      <c r="M90" s="28" t="n">
        <v>1</v>
      </c>
    </row>
    <row r="91" customFormat="false" ht="12.8" hidden="false" customHeight="false" outlineLevel="0" collapsed="false">
      <c r="A91" s="5" t="s">
        <v>146</v>
      </c>
      <c r="B91" s="5" t="n">
        <v>5</v>
      </c>
      <c r="C91" s="5" t="n">
        <v>3600</v>
      </c>
      <c r="D91" s="5" t="n">
        <v>184</v>
      </c>
      <c r="E91" s="5" t="n">
        <v>3916</v>
      </c>
      <c r="F91" s="28" t="n">
        <v>2.32641</v>
      </c>
      <c r="G91" s="28" t="s">
        <v>51</v>
      </c>
      <c r="H91" s="28" t="n">
        <v>184</v>
      </c>
      <c r="I91" s="28" t="n">
        <v>184</v>
      </c>
      <c r="J91" s="28" t="n">
        <v>0</v>
      </c>
      <c r="K91" s="28" t="n">
        <v>920</v>
      </c>
      <c r="L91" s="28" t="n">
        <v>19777</v>
      </c>
      <c r="M91" s="28" t="n">
        <v>1</v>
      </c>
    </row>
    <row r="92" customFormat="false" ht="12.8" hidden="false" customHeight="false" outlineLevel="0" collapsed="false">
      <c r="A92" s="5" t="s">
        <v>147</v>
      </c>
      <c r="B92" s="5" t="n">
        <v>5</v>
      </c>
      <c r="C92" s="5" t="n">
        <v>3600</v>
      </c>
      <c r="D92" s="5" t="n">
        <v>185</v>
      </c>
      <c r="E92" s="5" t="n">
        <v>3946</v>
      </c>
      <c r="F92" s="28" t="n">
        <v>2.67774</v>
      </c>
      <c r="G92" s="28" t="s">
        <v>51</v>
      </c>
      <c r="H92" s="28" t="n">
        <v>185</v>
      </c>
      <c r="I92" s="28" t="n">
        <v>185</v>
      </c>
      <c r="J92" s="28" t="n">
        <v>0</v>
      </c>
      <c r="K92" s="28" t="n">
        <v>925</v>
      </c>
      <c r="L92" s="28" t="n">
        <v>19928</v>
      </c>
      <c r="M92" s="28" t="n">
        <v>1</v>
      </c>
    </row>
    <row r="93" customFormat="false" ht="12.8" hidden="false" customHeight="false" outlineLevel="0" collapsed="false">
      <c r="A93" s="5" t="s">
        <v>148</v>
      </c>
      <c r="B93" s="5" t="n">
        <v>5</v>
      </c>
      <c r="C93" s="5" t="n">
        <v>3600</v>
      </c>
      <c r="D93" s="5" t="n">
        <v>186</v>
      </c>
      <c r="E93" s="5" t="n">
        <v>3973</v>
      </c>
      <c r="F93" s="28" t="n">
        <v>2.49634</v>
      </c>
      <c r="G93" s="28" t="s">
        <v>51</v>
      </c>
      <c r="H93" s="28" t="n">
        <v>186</v>
      </c>
      <c r="I93" s="28" t="n">
        <v>186</v>
      </c>
      <c r="J93" s="28" t="n">
        <v>0</v>
      </c>
      <c r="K93" s="28" t="n">
        <v>930</v>
      </c>
      <c r="L93" s="28" t="n">
        <v>20064</v>
      </c>
      <c r="M93" s="28" t="n">
        <v>1</v>
      </c>
    </row>
    <row r="94" customFormat="false" ht="12.8" hidden="false" customHeight="false" outlineLevel="0" collapsed="false">
      <c r="A94" s="5" t="s">
        <v>149</v>
      </c>
      <c r="B94" s="5" t="n">
        <v>5</v>
      </c>
      <c r="C94" s="5" t="n">
        <v>3600</v>
      </c>
      <c r="D94" s="5" t="n">
        <v>11</v>
      </c>
      <c r="E94" s="5" t="n">
        <v>20</v>
      </c>
      <c r="F94" s="28" t="n">
        <v>0.011904</v>
      </c>
      <c r="G94" s="28" t="s">
        <v>51</v>
      </c>
      <c r="H94" s="28" t="n">
        <v>5</v>
      </c>
      <c r="I94" s="28" t="n">
        <v>5</v>
      </c>
      <c r="J94" s="28" t="n">
        <v>6</v>
      </c>
      <c r="K94" s="28" t="n">
        <v>0</v>
      </c>
      <c r="L94" s="28" t="n">
        <v>0</v>
      </c>
      <c r="M94" s="28" t="n">
        <v>0</v>
      </c>
    </row>
    <row r="95" customFormat="false" ht="12.8" hidden="false" customHeight="false" outlineLevel="0" collapsed="false">
      <c r="A95" s="5" t="s">
        <v>150</v>
      </c>
      <c r="B95" s="5" t="n">
        <v>5</v>
      </c>
      <c r="C95" s="5" t="n">
        <v>3600</v>
      </c>
      <c r="D95" s="5" t="n">
        <v>23</v>
      </c>
      <c r="E95" s="5" t="n">
        <v>71</v>
      </c>
      <c r="F95" s="28" t="n">
        <v>2.74853</v>
      </c>
      <c r="G95" s="28" t="s">
        <v>51</v>
      </c>
      <c r="H95" s="28" t="n">
        <v>16</v>
      </c>
      <c r="I95" s="28" t="n">
        <v>16</v>
      </c>
      <c r="J95" s="28" t="n">
        <v>7</v>
      </c>
      <c r="K95" s="28" t="n">
        <v>86</v>
      </c>
      <c r="L95" s="28" t="n">
        <v>354</v>
      </c>
      <c r="M95" s="28" t="n">
        <v>7</v>
      </c>
    </row>
    <row r="96" customFormat="false" ht="12.8" hidden="false" customHeight="false" outlineLevel="0" collapsed="false">
      <c r="A96" s="5" t="s">
        <v>151</v>
      </c>
      <c r="B96" s="5" t="n">
        <v>5</v>
      </c>
      <c r="C96" s="5" t="n">
        <v>3600</v>
      </c>
      <c r="D96" s="5" t="n">
        <v>47</v>
      </c>
      <c r="E96" s="5" t="n">
        <v>236</v>
      </c>
      <c r="F96" s="28" t="n">
        <v>21.9138</v>
      </c>
      <c r="G96" s="28" t="s">
        <v>51</v>
      </c>
      <c r="H96" s="28" t="n">
        <v>39</v>
      </c>
      <c r="I96" s="28" t="n">
        <v>39</v>
      </c>
      <c r="J96" s="28" t="n">
        <v>8</v>
      </c>
      <c r="K96" s="28" t="n">
        <v>211</v>
      </c>
      <c r="L96" s="28" t="n">
        <v>949</v>
      </c>
      <c r="M96" s="28" t="n">
        <v>92</v>
      </c>
    </row>
    <row r="97" customFormat="false" ht="12.8" hidden="false" customHeight="false" outlineLevel="0" collapsed="false">
      <c r="A97" s="5" t="s">
        <v>152</v>
      </c>
      <c r="B97" s="5" t="n">
        <v>5</v>
      </c>
      <c r="C97" s="5" t="n">
        <v>3600</v>
      </c>
      <c r="D97" s="5" t="n">
        <v>95</v>
      </c>
      <c r="E97" s="5" t="n">
        <v>755</v>
      </c>
      <c r="F97" s="28" t="n">
        <v>118.58</v>
      </c>
      <c r="G97" s="28" t="s">
        <v>51</v>
      </c>
      <c r="H97" s="28" t="n">
        <v>86</v>
      </c>
      <c r="I97" s="28" t="n">
        <v>86</v>
      </c>
      <c r="J97" s="28" t="n">
        <v>9</v>
      </c>
      <c r="K97" s="28" t="n">
        <v>451</v>
      </c>
      <c r="L97" s="28" t="n">
        <v>2639</v>
      </c>
      <c r="M97" s="28" t="n">
        <v>388</v>
      </c>
    </row>
    <row r="98" customFormat="false" ht="12.8" hidden="false" customHeight="false" outlineLevel="0" collapsed="false">
      <c r="A98" s="5" t="s">
        <v>153</v>
      </c>
      <c r="B98" s="5" t="n">
        <v>5</v>
      </c>
      <c r="C98" s="5" t="n">
        <v>3600</v>
      </c>
      <c r="D98" s="5" t="n">
        <v>191</v>
      </c>
      <c r="E98" s="5" t="n">
        <v>2360</v>
      </c>
      <c r="F98" s="28" t="n">
        <v>904.817</v>
      </c>
      <c r="G98" s="28" t="s">
        <v>51</v>
      </c>
      <c r="H98" s="28" t="n">
        <v>181</v>
      </c>
      <c r="I98" s="28" t="n">
        <v>181</v>
      </c>
      <c r="J98" s="28" t="n">
        <v>10</v>
      </c>
      <c r="K98" s="28" t="n">
        <v>931</v>
      </c>
      <c r="L98" s="28" t="n">
        <v>10814</v>
      </c>
      <c r="M98" s="28" t="n">
        <v>630</v>
      </c>
    </row>
    <row r="99" customFormat="false" ht="12.8" hidden="false" customHeight="false" outlineLevel="0" collapsed="false">
      <c r="A99" s="5" t="s">
        <v>154</v>
      </c>
      <c r="B99" s="5" t="n">
        <v>5</v>
      </c>
      <c r="C99" s="5" t="n">
        <v>3600</v>
      </c>
      <c r="D99" s="5" t="n">
        <v>105</v>
      </c>
      <c r="E99" s="5" t="n">
        <v>441</v>
      </c>
      <c r="F99" s="28" t="n">
        <v>294.812</v>
      </c>
      <c r="G99" s="28" t="s">
        <v>51</v>
      </c>
      <c r="H99" s="28" t="n">
        <v>97</v>
      </c>
      <c r="I99" s="28" t="n">
        <v>97</v>
      </c>
      <c r="J99" s="28" t="n">
        <v>8</v>
      </c>
      <c r="K99" s="28" t="n">
        <v>515</v>
      </c>
      <c r="L99" s="28" t="n">
        <v>1263</v>
      </c>
      <c r="M99" s="28" t="n">
        <v>4219</v>
      </c>
    </row>
    <row r="100" customFormat="false" ht="12.8" hidden="false" customHeight="false" outlineLevel="0" collapsed="false">
      <c r="A100" s="5" t="s">
        <v>155</v>
      </c>
      <c r="B100" s="5" t="n">
        <v>5</v>
      </c>
      <c r="C100" s="5" t="n">
        <v>3600</v>
      </c>
      <c r="D100" s="5" t="n">
        <v>30</v>
      </c>
      <c r="E100" s="5" t="n">
        <v>179</v>
      </c>
      <c r="F100" s="28" t="n">
        <v>4.13047</v>
      </c>
      <c r="G100" s="28" t="s">
        <v>51</v>
      </c>
      <c r="H100" s="28" t="n">
        <v>10</v>
      </c>
      <c r="I100" s="28" t="n">
        <v>10</v>
      </c>
      <c r="J100" s="28" t="n">
        <v>20</v>
      </c>
      <c r="K100" s="28" t="n">
        <v>94</v>
      </c>
      <c r="L100" s="28" t="n">
        <v>208</v>
      </c>
      <c r="M100" s="28" t="n">
        <v>72</v>
      </c>
    </row>
    <row r="101" customFormat="false" ht="12.8" hidden="false" customHeight="false" outlineLevel="0" collapsed="false">
      <c r="A101" s="5" t="s">
        <v>156</v>
      </c>
      <c r="B101" s="5" t="n">
        <v>5</v>
      </c>
      <c r="C101" s="5" t="n">
        <v>3600</v>
      </c>
      <c r="D101" s="5" t="n">
        <v>100</v>
      </c>
      <c r="E101" s="5" t="n">
        <v>1470</v>
      </c>
      <c r="F101" s="28" t="n">
        <v>3600</v>
      </c>
      <c r="G101" s="28" t="s">
        <v>54</v>
      </c>
      <c r="H101" s="28" t="n">
        <v>81.8469</v>
      </c>
      <c r="I101" s="28" t="n">
        <v>30</v>
      </c>
      <c r="J101" s="28" t="n">
        <v>70</v>
      </c>
      <c r="K101" s="28" t="n">
        <v>400</v>
      </c>
      <c r="L101" s="28" t="n">
        <v>9678</v>
      </c>
      <c r="M101" s="28" t="n">
        <v>89416</v>
      </c>
    </row>
    <row r="102" customFormat="false" ht="12.8" hidden="false" customHeight="false" outlineLevel="0" collapsed="false">
      <c r="A102" s="5" t="s">
        <v>157</v>
      </c>
      <c r="B102" s="5" t="n">
        <v>5</v>
      </c>
      <c r="C102" s="5" t="n">
        <v>3600</v>
      </c>
      <c r="D102" s="5" t="n">
        <v>121</v>
      </c>
      <c r="E102" s="5" t="n">
        <v>1980</v>
      </c>
      <c r="F102" s="28" t="n">
        <v>3600</v>
      </c>
      <c r="G102" s="28" t="s">
        <v>54</v>
      </c>
      <c r="H102" s="28" t="n">
        <v>109.558</v>
      </c>
      <c r="I102" s="28" t="n">
        <v>40</v>
      </c>
      <c r="J102" s="28" t="n">
        <v>81</v>
      </c>
      <c r="K102" s="28" t="n">
        <v>495</v>
      </c>
      <c r="L102" s="28" t="n">
        <v>9545</v>
      </c>
      <c r="M102" s="28" t="n">
        <v>25069</v>
      </c>
    </row>
    <row r="103" customFormat="false" ht="12.8" hidden="false" customHeight="false" outlineLevel="0" collapsed="false">
      <c r="A103" s="5" t="s">
        <v>158</v>
      </c>
      <c r="B103" s="5" t="n">
        <v>5</v>
      </c>
      <c r="C103" s="5" t="n">
        <v>3600</v>
      </c>
      <c r="D103" s="5" t="n">
        <v>144</v>
      </c>
      <c r="E103" s="5" t="n">
        <v>2596</v>
      </c>
      <c r="F103" s="28" t="n">
        <v>3600</v>
      </c>
      <c r="G103" s="28" t="s">
        <v>54</v>
      </c>
      <c r="H103" s="28" t="n">
        <v>133.637</v>
      </c>
      <c r="I103" s="28" t="n">
        <v>49</v>
      </c>
      <c r="J103" s="28" t="n">
        <v>95</v>
      </c>
      <c r="K103" s="28" t="n">
        <v>600</v>
      </c>
      <c r="L103" s="28" t="n">
        <v>11271</v>
      </c>
      <c r="M103" s="28" t="n">
        <v>6202</v>
      </c>
    </row>
    <row r="104" customFormat="false" ht="12.8" hidden="false" customHeight="false" outlineLevel="0" collapsed="false">
      <c r="A104" s="5" t="s">
        <v>159</v>
      </c>
      <c r="B104" s="5" t="n">
        <v>5</v>
      </c>
      <c r="C104" s="5" t="n">
        <v>3600</v>
      </c>
      <c r="D104" s="5" t="n">
        <v>169</v>
      </c>
      <c r="E104" s="5" t="n">
        <v>3328</v>
      </c>
      <c r="F104" s="28" t="n">
        <v>3600</v>
      </c>
      <c r="G104" s="28" t="s">
        <v>54</v>
      </c>
      <c r="H104" s="28" t="n">
        <v>160.346</v>
      </c>
      <c r="I104" s="28" t="n">
        <v>63</v>
      </c>
      <c r="J104" s="28" t="n">
        <v>106</v>
      </c>
      <c r="K104" s="28" t="n">
        <v>715</v>
      </c>
      <c r="L104" s="28" t="n">
        <v>14997</v>
      </c>
      <c r="M104" s="28" t="n">
        <v>416</v>
      </c>
    </row>
    <row r="105" customFormat="false" ht="12.8" hidden="false" customHeight="false" outlineLevel="0" collapsed="false">
      <c r="A105" s="5" t="s">
        <v>160</v>
      </c>
      <c r="B105" s="5" t="n">
        <v>5</v>
      </c>
      <c r="C105" s="5" t="n">
        <v>3600</v>
      </c>
      <c r="D105" s="5" t="n">
        <v>196</v>
      </c>
      <c r="E105" s="5" t="n">
        <v>4186</v>
      </c>
      <c r="F105" s="28" t="n">
        <v>3600</v>
      </c>
      <c r="G105" s="28" t="s">
        <v>54</v>
      </c>
      <c r="H105" s="28" t="n">
        <v>189.08</v>
      </c>
      <c r="I105" s="28" t="n">
        <v>75</v>
      </c>
      <c r="J105" s="28" t="n">
        <v>121</v>
      </c>
      <c r="K105" s="28" t="n">
        <v>840</v>
      </c>
      <c r="L105" s="28" t="n">
        <v>18150</v>
      </c>
      <c r="M105" s="28" t="n">
        <v>368</v>
      </c>
    </row>
    <row r="106" customFormat="false" ht="12.8" hidden="false" customHeight="false" outlineLevel="0" collapsed="false">
      <c r="A106" s="5" t="s">
        <v>161</v>
      </c>
      <c r="B106" s="5" t="n">
        <v>5</v>
      </c>
      <c r="C106" s="5" t="n">
        <v>3600</v>
      </c>
      <c r="D106" s="5" t="n">
        <v>25</v>
      </c>
      <c r="E106" s="5" t="n">
        <v>160</v>
      </c>
      <c r="F106" s="28" t="n">
        <v>0.124086</v>
      </c>
      <c r="G106" s="28" t="s">
        <v>51</v>
      </c>
      <c r="H106" s="28" t="n">
        <v>5</v>
      </c>
      <c r="I106" s="28" t="n">
        <v>5</v>
      </c>
      <c r="J106" s="28" t="n">
        <v>20</v>
      </c>
      <c r="K106" s="28" t="n">
        <v>25</v>
      </c>
      <c r="L106" s="28" t="n">
        <v>125</v>
      </c>
      <c r="M106" s="28" t="n">
        <v>1</v>
      </c>
    </row>
    <row r="107" customFormat="false" ht="12.8" hidden="false" customHeight="false" outlineLevel="0" collapsed="false">
      <c r="A107" s="5" t="s">
        <v>162</v>
      </c>
      <c r="B107" s="5" t="n">
        <v>5</v>
      </c>
      <c r="C107" s="5" t="n">
        <v>3600</v>
      </c>
      <c r="D107" s="5" t="n">
        <v>36</v>
      </c>
      <c r="E107" s="5" t="n">
        <v>290</v>
      </c>
      <c r="F107" s="28" t="n">
        <v>13.2689</v>
      </c>
      <c r="G107" s="28" t="s">
        <v>51</v>
      </c>
      <c r="H107" s="28" t="n">
        <v>8</v>
      </c>
      <c r="I107" s="28" t="n">
        <v>8</v>
      </c>
      <c r="J107" s="28" t="n">
        <v>28</v>
      </c>
      <c r="K107" s="28" t="n">
        <v>120</v>
      </c>
      <c r="L107" s="28" t="n">
        <v>510</v>
      </c>
      <c r="M107" s="28" t="n">
        <v>683</v>
      </c>
    </row>
    <row r="108" customFormat="false" ht="12.8" hidden="false" customHeight="false" outlineLevel="0" collapsed="false">
      <c r="A108" s="5" t="s">
        <v>163</v>
      </c>
      <c r="B108" s="5" t="n">
        <v>5</v>
      </c>
      <c r="C108" s="5" t="n">
        <v>3600</v>
      </c>
      <c r="D108" s="5" t="n">
        <v>49</v>
      </c>
      <c r="E108" s="5" t="n">
        <v>476</v>
      </c>
      <c r="F108" s="28" t="n">
        <v>236.126</v>
      </c>
      <c r="G108" s="28" t="s">
        <v>51</v>
      </c>
      <c r="H108" s="28" t="n">
        <v>11</v>
      </c>
      <c r="I108" s="28" t="n">
        <v>11</v>
      </c>
      <c r="J108" s="28" t="n">
        <v>38</v>
      </c>
      <c r="K108" s="28" t="n">
        <v>175</v>
      </c>
      <c r="L108" s="28" t="n">
        <v>3611</v>
      </c>
      <c r="M108" s="28" t="n">
        <v>16079</v>
      </c>
    </row>
    <row r="109" customFormat="false" ht="12.8" hidden="false" customHeight="false" outlineLevel="0" collapsed="false">
      <c r="A109" s="5" t="s">
        <v>164</v>
      </c>
      <c r="B109" s="5" t="n">
        <v>5</v>
      </c>
      <c r="C109" s="5" t="n">
        <v>3600</v>
      </c>
      <c r="D109" s="5" t="n">
        <v>96</v>
      </c>
      <c r="E109" s="5" t="n">
        <v>1368</v>
      </c>
      <c r="F109" s="28" t="n">
        <v>3600</v>
      </c>
      <c r="G109" s="28" t="s">
        <v>54</v>
      </c>
      <c r="H109" s="28" t="n">
        <v>75.0778</v>
      </c>
      <c r="I109" s="28" t="n">
        <v>28</v>
      </c>
      <c r="J109" s="28" t="n">
        <v>68</v>
      </c>
      <c r="K109" s="28" t="n">
        <v>360</v>
      </c>
      <c r="L109" s="28" t="n">
        <v>9505</v>
      </c>
      <c r="M109" s="28" t="n">
        <v>115138</v>
      </c>
    </row>
    <row r="110" customFormat="false" ht="12.8" hidden="false" customHeight="false" outlineLevel="0" collapsed="false">
      <c r="A110" s="5" t="s">
        <v>165</v>
      </c>
      <c r="B110" s="5" t="n">
        <v>5</v>
      </c>
      <c r="C110" s="5" t="n">
        <v>3600</v>
      </c>
      <c r="D110" s="5" t="n">
        <v>64</v>
      </c>
      <c r="E110" s="5" t="n">
        <v>728</v>
      </c>
      <c r="F110" s="28" t="n">
        <v>2931.14</v>
      </c>
      <c r="G110" s="28" t="s">
        <v>51</v>
      </c>
      <c r="H110" s="28" t="n">
        <v>16</v>
      </c>
      <c r="I110" s="28" t="n">
        <v>16</v>
      </c>
      <c r="J110" s="28" t="n">
        <v>48</v>
      </c>
      <c r="K110" s="28" t="n">
        <v>240</v>
      </c>
      <c r="L110" s="28" t="n">
        <v>5205</v>
      </c>
      <c r="M110" s="28" t="n">
        <v>211882</v>
      </c>
    </row>
    <row r="111" customFormat="false" ht="12.8" hidden="false" customHeight="false" outlineLevel="0" collapsed="false">
      <c r="A111" s="5" t="s">
        <v>166</v>
      </c>
      <c r="B111" s="5" t="n">
        <v>5</v>
      </c>
      <c r="C111" s="5" t="n">
        <v>3600</v>
      </c>
      <c r="D111" s="5" t="n">
        <v>81</v>
      </c>
      <c r="E111" s="5" t="n">
        <v>1056</v>
      </c>
      <c r="F111" s="28" t="n">
        <v>3600</v>
      </c>
      <c r="G111" s="28" t="s">
        <v>54</v>
      </c>
      <c r="H111" s="28" t="n">
        <v>62.0914</v>
      </c>
      <c r="I111" s="28" t="n">
        <v>22</v>
      </c>
      <c r="J111" s="28" t="n">
        <v>59</v>
      </c>
      <c r="K111" s="28" t="n">
        <v>315</v>
      </c>
      <c r="L111" s="28" t="n">
        <v>11765</v>
      </c>
      <c r="M111" s="28" t="n">
        <v>128711</v>
      </c>
    </row>
    <row r="112" customFormat="false" ht="12.8" hidden="false" customHeight="false" outlineLevel="0" collapsed="false">
      <c r="A112" s="5" t="s">
        <v>167</v>
      </c>
      <c r="B112" s="5" t="n">
        <v>5</v>
      </c>
      <c r="C112" s="5" t="n">
        <v>3600</v>
      </c>
      <c r="D112" s="5" t="n">
        <v>125</v>
      </c>
      <c r="E112" s="5" t="n">
        <v>209</v>
      </c>
      <c r="F112" s="28" t="n">
        <v>0.41459</v>
      </c>
      <c r="G112" s="28" t="s">
        <v>51</v>
      </c>
      <c r="H112" s="28" t="n">
        <v>125</v>
      </c>
      <c r="I112" s="28" t="n">
        <v>125</v>
      </c>
      <c r="J112" s="28" t="n">
        <v>0</v>
      </c>
      <c r="K112" s="28" t="n">
        <v>615</v>
      </c>
      <c r="L112" s="28" t="n">
        <v>1179</v>
      </c>
      <c r="M112" s="28" t="n">
        <v>1</v>
      </c>
    </row>
    <row r="113" customFormat="false" ht="12.8" hidden="false" customHeight="false" outlineLevel="0" collapsed="false">
      <c r="A113" s="5" t="s">
        <v>168</v>
      </c>
      <c r="B113" s="5" t="n">
        <v>5</v>
      </c>
      <c r="C113" s="5" t="n">
        <v>3600</v>
      </c>
      <c r="D113" s="5" t="n">
        <v>125</v>
      </c>
      <c r="E113" s="5" t="n">
        <v>7501</v>
      </c>
      <c r="F113" s="28" t="n">
        <v>7.34977</v>
      </c>
      <c r="G113" s="28" t="s">
        <v>51</v>
      </c>
      <c r="H113" s="28" t="n">
        <v>9</v>
      </c>
      <c r="I113" s="28" t="n">
        <v>9</v>
      </c>
      <c r="J113" s="28" t="n">
        <v>116</v>
      </c>
      <c r="K113" s="28" t="n">
        <v>63</v>
      </c>
      <c r="L113" s="28" t="n">
        <v>138</v>
      </c>
      <c r="M113" s="28" t="n">
        <v>1</v>
      </c>
    </row>
    <row r="114" customFormat="false" ht="12.8" hidden="false" customHeight="false" outlineLevel="0" collapsed="false">
      <c r="A114" s="5" t="s">
        <v>169</v>
      </c>
      <c r="B114" s="5" t="n">
        <v>5</v>
      </c>
      <c r="C114" s="5" t="n">
        <v>3600</v>
      </c>
      <c r="D114" s="5" t="n">
        <v>125</v>
      </c>
      <c r="E114" s="5" t="n">
        <v>3838</v>
      </c>
      <c r="F114" s="28" t="n">
        <v>3600</v>
      </c>
      <c r="G114" s="28" t="s">
        <v>54</v>
      </c>
      <c r="H114" s="28" t="n">
        <v>112.131</v>
      </c>
      <c r="I114" s="28" t="n">
        <v>34</v>
      </c>
      <c r="J114" s="28" t="n">
        <v>91</v>
      </c>
      <c r="K114" s="28" t="n">
        <v>588</v>
      </c>
      <c r="L114" s="28" t="n">
        <v>21363</v>
      </c>
      <c r="M114" s="28" t="n">
        <v>4571</v>
      </c>
    </row>
    <row r="115" customFormat="false" ht="12.8" hidden="false" customHeight="false" outlineLevel="0" collapsed="false">
      <c r="A115" s="5" t="s">
        <v>170</v>
      </c>
      <c r="B115" s="5" t="n">
        <v>5</v>
      </c>
      <c r="C115" s="5" t="n">
        <v>3600</v>
      </c>
      <c r="D115" s="5" t="n">
        <v>136</v>
      </c>
      <c r="E115" s="5" t="n">
        <v>641</v>
      </c>
      <c r="F115" s="28" t="n">
        <v>817.697</v>
      </c>
      <c r="G115" s="28" t="s">
        <v>51</v>
      </c>
      <c r="H115" s="28" t="n">
        <v>129</v>
      </c>
      <c r="I115" s="28" t="n">
        <v>129</v>
      </c>
      <c r="J115" s="28" t="n">
        <v>7</v>
      </c>
      <c r="K115" s="28" t="n">
        <v>664</v>
      </c>
      <c r="L115" s="28" t="n">
        <v>2306</v>
      </c>
      <c r="M115" s="28" t="n">
        <v>1913</v>
      </c>
    </row>
    <row r="116" customFormat="false" ht="12.8" hidden="false" customHeight="false" outlineLevel="0" collapsed="false">
      <c r="A116" s="5" t="s">
        <v>171</v>
      </c>
      <c r="B116" s="5" t="n">
        <v>5</v>
      </c>
      <c r="C116" s="5" t="n">
        <v>3600</v>
      </c>
      <c r="D116" s="5" t="n">
        <v>80</v>
      </c>
      <c r="E116" s="5" t="n">
        <v>712</v>
      </c>
      <c r="F116" s="28" t="n">
        <v>3600</v>
      </c>
      <c r="G116" s="28" t="s">
        <v>54</v>
      </c>
      <c r="H116" s="28" t="n">
        <v>62.5432</v>
      </c>
      <c r="I116" s="28" t="n">
        <v>48</v>
      </c>
      <c r="J116" s="28" t="n">
        <v>32</v>
      </c>
      <c r="K116" s="28" t="n">
        <v>325</v>
      </c>
      <c r="L116" s="28" t="n">
        <v>5211</v>
      </c>
      <c r="M116" s="28" t="n">
        <v>203248</v>
      </c>
    </row>
    <row r="117" customFormat="false" ht="12.8" hidden="false" customHeight="false" outlineLevel="0" collapsed="false">
      <c r="A117" s="5" t="s">
        <v>172</v>
      </c>
      <c r="B117" s="5" t="n">
        <v>5</v>
      </c>
      <c r="C117" s="5" t="n">
        <v>3600</v>
      </c>
      <c r="D117" s="5" t="n">
        <v>67</v>
      </c>
      <c r="E117" s="5" t="n">
        <v>411</v>
      </c>
      <c r="F117" s="28" t="n">
        <v>850.675</v>
      </c>
      <c r="G117" s="28" t="s">
        <v>51</v>
      </c>
      <c r="H117" s="28" t="n">
        <v>47</v>
      </c>
      <c r="I117" s="28" t="n">
        <v>47</v>
      </c>
      <c r="J117" s="28" t="n">
        <v>20</v>
      </c>
      <c r="K117" s="28" t="n">
        <v>277</v>
      </c>
      <c r="L117" s="28" t="n">
        <v>1789</v>
      </c>
      <c r="M117" s="28" t="n">
        <v>99056</v>
      </c>
    </row>
    <row r="118" customFormat="false" ht="12.8" hidden="false" customHeight="false" outlineLevel="0" collapsed="false">
      <c r="A118" s="5" t="s">
        <v>173</v>
      </c>
      <c r="B118" s="5" t="n">
        <v>5</v>
      </c>
      <c r="C118" s="5" t="n">
        <v>3600</v>
      </c>
      <c r="D118" s="5" t="n">
        <v>132</v>
      </c>
      <c r="E118" s="5" t="n">
        <v>560</v>
      </c>
      <c r="F118" s="28" t="n">
        <v>326.209</v>
      </c>
      <c r="G118" s="28" t="s">
        <v>51</v>
      </c>
      <c r="H118" s="28" t="n">
        <v>127</v>
      </c>
      <c r="I118" s="28" t="n">
        <v>127</v>
      </c>
      <c r="J118" s="28" t="n">
        <v>5</v>
      </c>
      <c r="K118" s="28" t="n">
        <v>650</v>
      </c>
      <c r="L118" s="28" t="n">
        <v>1926</v>
      </c>
      <c r="M118" s="28" t="n">
        <v>2878</v>
      </c>
    </row>
    <row r="119" customFormat="false" ht="12.8" hidden="false" customHeight="false" outlineLevel="0" collapsed="false">
      <c r="A119" s="5" t="s">
        <v>174</v>
      </c>
      <c r="B119" s="5" t="n">
        <v>5</v>
      </c>
      <c r="C119" s="5" t="n">
        <v>3600</v>
      </c>
      <c r="D119" s="5" t="n">
        <v>57</v>
      </c>
      <c r="E119" s="5" t="n">
        <v>304</v>
      </c>
      <c r="F119" s="28" t="n">
        <v>93.9868</v>
      </c>
      <c r="G119" s="28" t="s">
        <v>51</v>
      </c>
      <c r="H119" s="28" t="n">
        <v>50</v>
      </c>
      <c r="I119" s="28" t="n">
        <v>50</v>
      </c>
      <c r="J119" s="28" t="n">
        <v>7</v>
      </c>
      <c r="K119" s="28" t="n">
        <v>275</v>
      </c>
      <c r="L119" s="28" t="n">
        <v>1574</v>
      </c>
      <c r="M119" s="28" t="n">
        <v>2574</v>
      </c>
    </row>
    <row r="120" customFormat="false" ht="12.8" hidden="false" customHeight="false" outlineLevel="0" collapsed="false">
      <c r="A120" s="5" t="s">
        <v>50</v>
      </c>
      <c r="B120" s="5" t="n">
        <v>10</v>
      </c>
      <c r="C120" s="5" t="n">
        <v>3600</v>
      </c>
      <c r="D120" s="5" t="n">
        <v>30</v>
      </c>
      <c r="E120" s="5" t="n">
        <v>100</v>
      </c>
      <c r="F120" s="28" t="n">
        <v>5.61762</v>
      </c>
      <c r="G120" s="28" t="s">
        <v>51</v>
      </c>
      <c r="H120" s="28" t="n">
        <v>19</v>
      </c>
      <c r="I120" s="28" t="n">
        <v>19</v>
      </c>
      <c r="J120" s="28" t="n">
        <v>11</v>
      </c>
      <c r="K120" s="28" t="n">
        <v>163</v>
      </c>
      <c r="L120" s="28" t="n">
        <v>537</v>
      </c>
      <c r="M120" s="28" t="n">
        <v>1</v>
      </c>
    </row>
    <row r="121" customFormat="false" ht="12.8" hidden="false" customHeight="false" outlineLevel="0" collapsed="false">
      <c r="A121" s="5" t="s">
        <v>52</v>
      </c>
      <c r="B121" s="5" t="n">
        <v>10</v>
      </c>
      <c r="C121" s="5" t="n">
        <v>3600</v>
      </c>
      <c r="D121" s="5" t="n">
        <v>93</v>
      </c>
      <c r="E121" s="5" t="n">
        <v>593</v>
      </c>
      <c r="F121" s="28" t="n">
        <v>1454.91</v>
      </c>
      <c r="G121" s="28" t="s">
        <v>51</v>
      </c>
      <c r="H121" s="28" t="n">
        <v>80</v>
      </c>
      <c r="I121" s="28" t="n">
        <v>80</v>
      </c>
      <c r="J121" s="28" t="n">
        <v>13</v>
      </c>
      <c r="K121" s="28" t="n">
        <v>844</v>
      </c>
      <c r="L121" s="28" t="n">
        <v>3426</v>
      </c>
      <c r="M121" s="28" t="n">
        <v>1067</v>
      </c>
    </row>
    <row r="122" customFormat="false" ht="12.8" hidden="false" customHeight="false" outlineLevel="0" collapsed="false">
      <c r="A122" s="5" t="s">
        <v>55</v>
      </c>
      <c r="B122" s="5" t="n">
        <v>10</v>
      </c>
      <c r="C122" s="5" t="n">
        <v>3600</v>
      </c>
      <c r="D122" s="5" t="n">
        <v>67</v>
      </c>
      <c r="E122" s="5" t="n">
        <v>232</v>
      </c>
      <c r="F122" s="28" t="n">
        <v>696.941</v>
      </c>
      <c r="G122" s="28" t="s">
        <v>51</v>
      </c>
      <c r="H122" s="28" t="n">
        <v>55</v>
      </c>
      <c r="I122" s="28" t="n">
        <v>55</v>
      </c>
      <c r="J122" s="28" t="n">
        <v>12</v>
      </c>
      <c r="K122" s="28" t="n">
        <v>591</v>
      </c>
      <c r="L122" s="28" t="n">
        <v>1557</v>
      </c>
      <c r="M122" s="28" t="n">
        <v>3846</v>
      </c>
    </row>
    <row r="123" customFormat="false" ht="12.8" hidden="false" customHeight="false" outlineLevel="0" collapsed="false">
      <c r="A123" s="5" t="s">
        <v>56</v>
      </c>
      <c r="B123" s="5" t="n">
        <v>10</v>
      </c>
      <c r="C123" s="5" t="n">
        <v>3600</v>
      </c>
      <c r="D123" s="5" t="n">
        <v>52</v>
      </c>
      <c r="E123" s="5" t="n">
        <v>201</v>
      </c>
      <c r="F123" s="28" t="n">
        <v>258.571</v>
      </c>
      <c r="G123" s="28" t="s">
        <v>51</v>
      </c>
      <c r="H123" s="28" t="n">
        <v>39</v>
      </c>
      <c r="I123" s="28" t="n">
        <v>39</v>
      </c>
      <c r="J123" s="28" t="n">
        <v>13</v>
      </c>
      <c r="K123" s="28" t="n">
        <v>421</v>
      </c>
      <c r="L123" s="28" t="n">
        <v>1465</v>
      </c>
      <c r="M123" s="28" t="n">
        <v>2209</v>
      </c>
    </row>
    <row r="124" customFormat="false" ht="12.8" hidden="false" customHeight="false" outlineLevel="0" collapsed="false">
      <c r="A124" s="5" t="s">
        <v>57</v>
      </c>
      <c r="B124" s="5" t="n">
        <v>10</v>
      </c>
      <c r="C124" s="5" t="n">
        <v>3600</v>
      </c>
      <c r="D124" s="5" t="n">
        <v>37</v>
      </c>
      <c r="E124" s="5" t="n">
        <v>72</v>
      </c>
      <c r="F124" s="28" t="n">
        <v>109.075</v>
      </c>
      <c r="G124" s="28" t="s">
        <v>51</v>
      </c>
      <c r="H124" s="28" t="n">
        <v>27</v>
      </c>
      <c r="I124" s="28" t="n">
        <v>27</v>
      </c>
      <c r="J124" s="28" t="n">
        <v>10</v>
      </c>
      <c r="K124" s="28" t="n">
        <v>294</v>
      </c>
      <c r="L124" s="28" t="n">
        <v>1220</v>
      </c>
      <c r="M124" s="28" t="n">
        <v>3501</v>
      </c>
    </row>
    <row r="125" customFormat="false" ht="12.8" hidden="false" customHeight="false" outlineLevel="0" collapsed="false">
      <c r="A125" s="5" t="s">
        <v>58</v>
      </c>
      <c r="B125" s="5" t="n">
        <v>10</v>
      </c>
      <c r="C125" s="5" t="n">
        <v>3600</v>
      </c>
      <c r="D125" s="5" t="n">
        <v>149</v>
      </c>
      <c r="E125" s="5" t="n">
        <v>541</v>
      </c>
      <c r="F125" s="28" t="n">
        <v>3600</v>
      </c>
      <c r="G125" s="28" t="s">
        <v>54</v>
      </c>
      <c r="H125" s="28" t="n">
        <v>144.875</v>
      </c>
      <c r="I125" s="28" t="n">
        <v>138</v>
      </c>
      <c r="J125" s="28" t="n">
        <v>11</v>
      </c>
      <c r="K125" s="28" t="n">
        <v>1423</v>
      </c>
      <c r="L125" s="28" t="n">
        <v>5283</v>
      </c>
      <c r="M125" s="28" t="n">
        <v>376</v>
      </c>
    </row>
    <row r="126" customFormat="false" ht="12.8" hidden="false" customHeight="false" outlineLevel="0" collapsed="false">
      <c r="A126" s="5" t="s">
        <v>59</v>
      </c>
      <c r="B126" s="5" t="n">
        <v>10</v>
      </c>
      <c r="C126" s="5" t="n">
        <v>3600</v>
      </c>
      <c r="D126" s="5" t="n">
        <v>80</v>
      </c>
      <c r="E126" s="5" t="n">
        <v>346</v>
      </c>
      <c r="F126" s="28" t="n">
        <v>3543.05</v>
      </c>
      <c r="G126" s="28" t="s">
        <v>51</v>
      </c>
      <c r="H126" s="28" t="n">
        <v>66</v>
      </c>
      <c r="I126" s="28" t="n">
        <v>66</v>
      </c>
      <c r="J126" s="28" t="n">
        <v>14</v>
      </c>
      <c r="K126" s="28" t="n">
        <v>710</v>
      </c>
      <c r="L126" s="28" t="n">
        <v>1666</v>
      </c>
      <c r="M126" s="28" t="n">
        <v>11706</v>
      </c>
    </row>
    <row r="127" customFormat="false" ht="12.8" hidden="false" customHeight="false" outlineLevel="0" collapsed="false">
      <c r="A127" s="5" t="s">
        <v>60</v>
      </c>
      <c r="B127" s="5" t="n">
        <v>10</v>
      </c>
      <c r="C127" s="5" t="n">
        <v>3600</v>
      </c>
      <c r="D127" s="5" t="n">
        <v>56</v>
      </c>
      <c r="E127" s="5" t="n">
        <v>110</v>
      </c>
      <c r="F127" s="28" t="n">
        <v>1958.76</v>
      </c>
      <c r="G127" s="28" t="s">
        <v>51</v>
      </c>
      <c r="H127" s="28" t="n">
        <v>45</v>
      </c>
      <c r="I127" s="28" t="n">
        <v>45</v>
      </c>
      <c r="J127" s="28" t="n">
        <v>11</v>
      </c>
      <c r="K127" s="28" t="n">
        <v>480</v>
      </c>
      <c r="L127" s="28" t="n">
        <v>936</v>
      </c>
      <c r="M127" s="28" t="n">
        <v>67662</v>
      </c>
    </row>
    <row r="128" customFormat="false" ht="12.8" hidden="false" customHeight="false" outlineLevel="0" collapsed="false">
      <c r="A128" s="5" t="s">
        <v>61</v>
      </c>
      <c r="B128" s="5" t="n">
        <v>10</v>
      </c>
      <c r="C128" s="5" t="n">
        <v>3600</v>
      </c>
      <c r="D128" s="5" t="n">
        <v>114</v>
      </c>
      <c r="E128" s="5" t="n">
        <v>541</v>
      </c>
      <c r="F128" s="28" t="n">
        <v>3600.01</v>
      </c>
      <c r="G128" s="28" t="s">
        <v>54</v>
      </c>
      <c r="H128" s="28" t="n">
        <v>108.752</v>
      </c>
      <c r="I128" s="28" t="n">
        <v>99</v>
      </c>
      <c r="J128" s="28" t="n">
        <v>15</v>
      </c>
      <c r="K128" s="28" t="n">
        <v>1053</v>
      </c>
      <c r="L128" s="28" t="n">
        <v>5955</v>
      </c>
      <c r="M128" s="28" t="n">
        <v>631</v>
      </c>
    </row>
    <row r="129" customFormat="false" ht="12.8" hidden="false" customHeight="false" outlineLevel="0" collapsed="false">
      <c r="A129" s="5" t="s">
        <v>62</v>
      </c>
      <c r="B129" s="5" t="n">
        <v>10</v>
      </c>
      <c r="C129" s="5" t="n">
        <v>3600</v>
      </c>
      <c r="D129" s="5" t="n">
        <v>79</v>
      </c>
      <c r="E129" s="5" t="n">
        <v>156</v>
      </c>
      <c r="F129" s="28" t="n">
        <v>3600</v>
      </c>
      <c r="G129" s="28" t="s">
        <v>54</v>
      </c>
      <c r="H129" s="28" t="n">
        <v>72.5001</v>
      </c>
      <c r="I129" s="28" t="n">
        <v>68</v>
      </c>
      <c r="J129" s="28" t="n">
        <v>11</v>
      </c>
      <c r="K129" s="28" t="n">
        <v>709</v>
      </c>
      <c r="L129" s="28" t="n">
        <v>3069</v>
      </c>
      <c r="M129" s="28" t="n">
        <v>58474</v>
      </c>
    </row>
    <row r="130" customFormat="false" ht="12.8" hidden="false" customHeight="false" outlineLevel="0" collapsed="false">
      <c r="A130" s="5" t="s">
        <v>63</v>
      </c>
      <c r="B130" s="5" t="n">
        <v>10</v>
      </c>
      <c r="C130" s="5" t="n">
        <v>3600</v>
      </c>
      <c r="D130" s="5" t="n">
        <v>154</v>
      </c>
      <c r="E130" s="5" t="n">
        <v>792</v>
      </c>
      <c r="F130" s="28" t="n">
        <v>3600</v>
      </c>
      <c r="G130" s="28" t="s">
        <v>54</v>
      </c>
      <c r="H130" s="28" t="n">
        <v>149.355</v>
      </c>
      <c r="I130" s="28" t="n">
        <v>135</v>
      </c>
      <c r="J130" s="28" t="n">
        <v>19</v>
      </c>
      <c r="K130" s="28" t="n">
        <v>1473</v>
      </c>
      <c r="L130" s="28" t="n">
        <v>8309</v>
      </c>
      <c r="M130" s="28" t="n">
        <v>442</v>
      </c>
    </row>
    <row r="131" customFormat="false" ht="12.8" hidden="false" customHeight="false" outlineLevel="0" collapsed="false">
      <c r="A131" s="5" t="s">
        <v>65</v>
      </c>
      <c r="B131" s="5" t="n">
        <v>10</v>
      </c>
      <c r="C131" s="5" t="n">
        <v>3600</v>
      </c>
      <c r="D131" s="5" t="n">
        <v>112</v>
      </c>
      <c r="E131" s="5" t="n">
        <v>425</v>
      </c>
      <c r="F131" s="28" t="n">
        <v>261.342</v>
      </c>
      <c r="G131" s="28" t="s">
        <v>51</v>
      </c>
      <c r="H131" s="28" t="n">
        <v>106</v>
      </c>
      <c r="I131" s="28" t="n">
        <v>106</v>
      </c>
      <c r="J131" s="28" t="n">
        <v>6</v>
      </c>
      <c r="K131" s="28" t="n">
        <v>1032</v>
      </c>
      <c r="L131" s="28" t="n">
        <v>2832</v>
      </c>
      <c r="M131" s="28" t="n">
        <v>97</v>
      </c>
    </row>
    <row r="132" customFormat="false" ht="12.8" hidden="false" customHeight="false" outlineLevel="0" collapsed="false">
      <c r="A132" s="5" t="s">
        <v>66</v>
      </c>
      <c r="B132" s="5" t="n">
        <v>10</v>
      </c>
      <c r="C132" s="5" t="n">
        <v>3600</v>
      </c>
      <c r="D132" s="5" t="n">
        <v>138</v>
      </c>
      <c r="E132" s="5" t="n">
        <v>493</v>
      </c>
      <c r="F132" s="28" t="n">
        <v>39.258</v>
      </c>
      <c r="G132" s="28" t="s">
        <v>51</v>
      </c>
      <c r="H132" s="28" t="n">
        <v>137</v>
      </c>
      <c r="I132" s="28" t="n">
        <v>137</v>
      </c>
      <c r="J132" s="28" t="n">
        <v>1</v>
      </c>
      <c r="K132" s="28" t="n">
        <v>1380</v>
      </c>
      <c r="L132" s="28" t="n">
        <v>5214</v>
      </c>
      <c r="M132" s="28" t="n">
        <v>2</v>
      </c>
    </row>
    <row r="133" customFormat="false" ht="12.8" hidden="false" customHeight="false" outlineLevel="0" collapsed="false">
      <c r="A133" s="5" t="s">
        <v>69</v>
      </c>
      <c r="B133" s="5" t="n">
        <v>10</v>
      </c>
      <c r="C133" s="5" t="n">
        <v>3600</v>
      </c>
      <c r="D133" s="5" t="n">
        <v>85</v>
      </c>
      <c r="E133" s="5" t="n">
        <v>219</v>
      </c>
      <c r="F133" s="28" t="n">
        <v>3600</v>
      </c>
      <c r="G133" s="28" t="s">
        <v>54</v>
      </c>
      <c r="H133" s="28" t="n">
        <v>79.3499</v>
      </c>
      <c r="I133" s="28" t="n">
        <v>69</v>
      </c>
      <c r="J133" s="28" t="n">
        <v>16</v>
      </c>
      <c r="K133" s="28" t="n">
        <v>748</v>
      </c>
      <c r="L133" s="28" t="n">
        <v>2513</v>
      </c>
      <c r="M133" s="28" t="n">
        <v>40286</v>
      </c>
    </row>
    <row r="134" customFormat="false" ht="12.8" hidden="false" customHeight="false" outlineLevel="0" collapsed="false">
      <c r="A134" s="5" t="s">
        <v>70</v>
      </c>
      <c r="B134" s="5" t="n">
        <v>10</v>
      </c>
      <c r="C134" s="5" t="n">
        <v>3600</v>
      </c>
      <c r="D134" s="5" t="n">
        <v>104</v>
      </c>
      <c r="E134" s="5" t="n">
        <v>331</v>
      </c>
      <c r="F134" s="28" t="n">
        <v>3600</v>
      </c>
      <c r="G134" s="28" t="s">
        <v>54</v>
      </c>
      <c r="H134" s="28" t="n">
        <v>100.285</v>
      </c>
      <c r="I134" s="28" t="n">
        <v>81</v>
      </c>
      <c r="J134" s="28" t="n">
        <v>23</v>
      </c>
      <c r="K134" s="28" t="n">
        <v>934</v>
      </c>
      <c r="L134" s="28" t="n">
        <v>3582</v>
      </c>
      <c r="M134" s="28" t="n">
        <v>7513</v>
      </c>
    </row>
    <row r="135" customFormat="false" ht="12.8" hidden="false" customHeight="false" outlineLevel="0" collapsed="false">
      <c r="A135" s="5" t="s">
        <v>71</v>
      </c>
      <c r="B135" s="5" t="n">
        <v>10</v>
      </c>
      <c r="C135" s="5" t="n">
        <v>3600</v>
      </c>
      <c r="D135" s="5" t="n">
        <v>85</v>
      </c>
      <c r="E135" s="5" t="n">
        <v>616</v>
      </c>
      <c r="F135" s="28" t="n">
        <v>3600</v>
      </c>
      <c r="G135" s="28" t="s">
        <v>54</v>
      </c>
      <c r="H135" s="28" t="n">
        <v>75.9845</v>
      </c>
      <c r="I135" s="28" t="n">
        <v>36</v>
      </c>
      <c r="J135" s="28" t="n">
        <v>49</v>
      </c>
      <c r="K135" s="28" t="n">
        <v>705</v>
      </c>
      <c r="L135" s="28" t="n">
        <v>8511</v>
      </c>
      <c r="M135" s="28" t="n">
        <v>21891</v>
      </c>
    </row>
    <row r="136" customFormat="false" ht="12.8" hidden="false" customHeight="false" outlineLevel="0" collapsed="false">
      <c r="A136" s="5" t="s">
        <v>72</v>
      </c>
      <c r="B136" s="5" t="n">
        <v>10</v>
      </c>
      <c r="C136" s="5" t="n">
        <v>3600</v>
      </c>
      <c r="D136" s="5" t="n">
        <v>39</v>
      </c>
      <c r="E136" s="5" t="n">
        <v>118</v>
      </c>
      <c r="F136" s="28" t="n">
        <v>143.554</v>
      </c>
      <c r="G136" s="28" t="s">
        <v>51</v>
      </c>
      <c r="H136" s="28" t="n">
        <v>23</v>
      </c>
      <c r="I136" s="28" t="n">
        <v>23</v>
      </c>
      <c r="J136" s="28" t="n">
        <v>16</v>
      </c>
      <c r="K136" s="28" t="n">
        <v>252</v>
      </c>
      <c r="L136" s="28" t="n">
        <v>1773</v>
      </c>
      <c r="M136" s="28" t="n">
        <v>7449</v>
      </c>
    </row>
    <row r="137" customFormat="false" ht="12.8" hidden="false" customHeight="false" outlineLevel="0" collapsed="false">
      <c r="A137" s="5" t="s">
        <v>73</v>
      </c>
      <c r="B137" s="5" t="n">
        <v>10</v>
      </c>
      <c r="C137" s="5" t="n">
        <v>3600</v>
      </c>
      <c r="D137" s="5" t="n">
        <v>49</v>
      </c>
      <c r="E137" s="5" t="n">
        <v>177</v>
      </c>
      <c r="F137" s="28" t="n">
        <v>849.273</v>
      </c>
      <c r="G137" s="28" t="s">
        <v>51</v>
      </c>
      <c r="H137" s="28" t="n">
        <v>33</v>
      </c>
      <c r="I137" s="28" t="n">
        <v>33</v>
      </c>
      <c r="J137" s="28" t="n">
        <v>16</v>
      </c>
      <c r="K137" s="28" t="n">
        <v>372</v>
      </c>
      <c r="L137" s="28" t="n">
        <v>2130</v>
      </c>
      <c r="M137" s="28" t="n">
        <v>47628</v>
      </c>
    </row>
    <row r="138" customFormat="false" ht="12.8" hidden="false" customHeight="false" outlineLevel="0" collapsed="false">
      <c r="A138" s="5" t="s">
        <v>74</v>
      </c>
      <c r="B138" s="5" t="n">
        <v>10</v>
      </c>
      <c r="C138" s="5" t="n">
        <v>3600</v>
      </c>
      <c r="D138" s="5" t="n">
        <v>118</v>
      </c>
      <c r="E138" s="5" t="n">
        <v>576</v>
      </c>
      <c r="F138" s="28" t="n">
        <v>3600</v>
      </c>
      <c r="G138" s="28" t="s">
        <v>54</v>
      </c>
      <c r="H138" s="28" t="n">
        <v>113.44</v>
      </c>
      <c r="I138" s="28" t="n">
        <v>91</v>
      </c>
      <c r="J138" s="28" t="n">
        <v>27</v>
      </c>
      <c r="K138" s="28" t="n">
        <v>1116</v>
      </c>
      <c r="L138" s="28" t="n">
        <v>6359</v>
      </c>
      <c r="M138" s="28" t="n">
        <v>5718</v>
      </c>
    </row>
    <row r="139" customFormat="false" ht="12.8" hidden="false" customHeight="false" outlineLevel="0" collapsed="false">
      <c r="A139" s="5" t="s">
        <v>76</v>
      </c>
      <c r="B139" s="5" t="n">
        <v>10</v>
      </c>
      <c r="C139" s="5" t="n">
        <v>3600</v>
      </c>
      <c r="D139" s="5" t="n">
        <v>144</v>
      </c>
      <c r="E139" s="5" t="n">
        <v>1656</v>
      </c>
      <c r="F139" s="28" t="n">
        <v>3600</v>
      </c>
      <c r="G139" s="28" t="s">
        <v>54</v>
      </c>
      <c r="H139" s="28" t="n">
        <v>137.213</v>
      </c>
      <c r="I139" s="28" t="n">
        <v>54</v>
      </c>
      <c r="J139" s="28" t="n">
        <v>90</v>
      </c>
      <c r="K139" s="28" t="n">
        <v>1187</v>
      </c>
      <c r="L139" s="28" t="n">
        <v>14260</v>
      </c>
      <c r="M139" s="28" t="n">
        <v>852</v>
      </c>
    </row>
    <row r="140" customFormat="false" ht="12.8" hidden="false" customHeight="false" outlineLevel="0" collapsed="false">
      <c r="A140" s="5" t="s">
        <v>79</v>
      </c>
      <c r="B140" s="5" t="n">
        <v>10</v>
      </c>
      <c r="C140" s="5" t="n">
        <v>3600</v>
      </c>
      <c r="D140" s="5" t="n">
        <v>62</v>
      </c>
      <c r="E140" s="5" t="n">
        <v>210</v>
      </c>
      <c r="F140" s="28" t="n">
        <v>3600</v>
      </c>
      <c r="G140" s="28" t="s">
        <v>54</v>
      </c>
      <c r="H140" s="28" t="n">
        <v>53.2734</v>
      </c>
      <c r="I140" s="28" t="n">
        <v>45</v>
      </c>
      <c r="J140" s="28" t="n">
        <v>17</v>
      </c>
      <c r="K140" s="28" t="n">
        <v>469</v>
      </c>
      <c r="L140" s="28" t="n">
        <v>3292</v>
      </c>
      <c r="M140" s="28" t="n">
        <v>138835</v>
      </c>
    </row>
    <row r="141" customFormat="false" ht="12.8" hidden="false" customHeight="false" outlineLevel="0" collapsed="false">
      <c r="A141" s="5" t="s">
        <v>80</v>
      </c>
      <c r="B141" s="5" t="n">
        <v>10</v>
      </c>
      <c r="C141" s="5" t="n">
        <v>3600</v>
      </c>
      <c r="D141" s="5" t="n">
        <v>73</v>
      </c>
      <c r="E141" s="5" t="n">
        <v>652</v>
      </c>
      <c r="F141" s="28" t="n">
        <v>3600</v>
      </c>
      <c r="G141" s="28" t="s">
        <v>54</v>
      </c>
      <c r="H141" s="28" t="n">
        <v>61.0696</v>
      </c>
      <c r="I141" s="28" t="n">
        <v>19</v>
      </c>
      <c r="J141" s="28" t="n">
        <v>54</v>
      </c>
      <c r="K141" s="28" t="n">
        <v>601</v>
      </c>
      <c r="L141" s="28" t="n">
        <v>14272</v>
      </c>
      <c r="M141" s="28" t="n">
        <v>34081</v>
      </c>
    </row>
    <row r="142" customFormat="false" ht="12.8" hidden="false" customHeight="false" outlineLevel="0" collapsed="false">
      <c r="A142" s="5" t="s">
        <v>81</v>
      </c>
      <c r="B142" s="5" t="n">
        <v>10</v>
      </c>
      <c r="C142" s="5" t="n">
        <v>3600</v>
      </c>
      <c r="D142" s="5" t="n">
        <v>96</v>
      </c>
      <c r="E142" s="5" t="n">
        <v>912</v>
      </c>
      <c r="F142" s="28" t="n">
        <v>3600</v>
      </c>
      <c r="G142" s="28" t="s">
        <v>54</v>
      </c>
      <c r="H142" s="28" t="n">
        <v>87.8735</v>
      </c>
      <c r="I142" s="28" t="n">
        <v>21</v>
      </c>
      <c r="J142" s="28" t="n">
        <v>75</v>
      </c>
      <c r="K142" s="28" t="n">
        <v>840</v>
      </c>
      <c r="L142" s="28" t="n">
        <v>9740</v>
      </c>
      <c r="M142" s="28" t="n">
        <v>1363</v>
      </c>
    </row>
    <row r="143" customFormat="false" ht="12.8" hidden="false" customHeight="false" outlineLevel="0" collapsed="false">
      <c r="A143" s="5" t="s">
        <v>82</v>
      </c>
      <c r="B143" s="5" t="n">
        <v>10</v>
      </c>
      <c r="C143" s="5" t="n">
        <v>3600</v>
      </c>
      <c r="D143" s="5" t="n">
        <v>297</v>
      </c>
      <c r="E143" s="5" t="n">
        <v>2148</v>
      </c>
      <c r="F143" s="28" t="n">
        <v>543.26</v>
      </c>
      <c r="G143" s="28" t="s">
        <v>51</v>
      </c>
      <c r="H143" s="28" t="n">
        <v>296</v>
      </c>
      <c r="I143" s="28" t="n">
        <v>296</v>
      </c>
      <c r="J143" s="28" t="n">
        <v>2</v>
      </c>
      <c r="K143" s="28" t="n">
        <v>2970</v>
      </c>
      <c r="L143" s="28" t="n">
        <v>21875</v>
      </c>
      <c r="M143" s="28" t="n">
        <v>23</v>
      </c>
    </row>
    <row r="144" customFormat="false" ht="12.8" hidden="false" customHeight="false" outlineLevel="0" collapsed="false">
      <c r="A144" s="5" t="s">
        <v>83</v>
      </c>
      <c r="B144" s="5" t="n">
        <v>10</v>
      </c>
      <c r="C144" s="5" t="n">
        <v>3600</v>
      </c>
      <c r="D144" s="5" t="n">
        <v>39</v>
      </c>
      <c r="E144" s="5" t="n">
        <v>170</v>
      </c>
      <c r="F144" s="28" t="n">
        <v>55.4573</v>
      </c>
      <c r="G144" s="28" t="s">
        <v>51</v>
      </c>
      <c r="H144" s="28" t="n">
        <v>27</v>
      </c>
      <c r="I144" s="28" t="n">
        <v>27</v>
      </c>
      <c r="J144" s="28" t="n">
        <v>12</v>
      </c>
      <c r="K144" s="28" t="n">
        <v>299</v>
      </c>
      <c r="L144" s="28" t="n">
        <v>1088</v>
      </c>
      <c r="M144" s="28" t="n">
        <v>3133</v>
      </c>
    </row>
    <row r="145" customFormat="false" ht="12.8" hidden="false" customHeight="false" outlineLevel="0" collapsed="false">
      <c r="A145" s="5" t="s">
        <v>85</v>
      </c>
      <c r="B145" s="5" t="n">
        <v>10</v>
      </c>
      <c r="C145" s="5" t="n">
        <v>3600</v>
      </c>
      <c r="D145" s="5" t="n">
        <v>87</v>
      </c>
      <c r="E145" s="5" t="n">
        <v>406</v>
      </c>
      <c r="F145" s="28" t="n">
        <v>15.1332</v>
      </c>
      <c r="G145" s="28" t="s">
        <v>51</v>
      </c>
      <c r="H145" s="28" t="n">
        <v>86</v>
      </c>
      <c r="I145" s="28" t="n">
        <v>86</v>
      </c>
      <c r="J145" s="28" t="n">
        <v>2</v>
      </c>
      <c r="K145" s="28" t="n">
        <v>825</v>
      </c>
      <c r="L145" s="28" t="n">
        <v>3240</v>
      </c>
      <c r="M145" s="28" t="n">
        <v>1</v>
      </c>
    </row>
    <row r="146" customFormat="false" ht="12.8" hidden="false" customHeight="false" outlineLevel="0" collapsed="false">
      <c r="A146" s="5" t="s">
        <v>87</v>
      </c>
      <c r="B146" s="5" t="n">
        <v>10</v>
      </c>
      <c r="C146" s="5" t="n">
        <v>3600</v>
      </c>
      <c r="D146" s="5" t="n">
        <v>62</v>
      </c>
      <c r="E146" s="5" t="n">
        <v>159</v>
      </c>
      <c r="F146" s="28" t="n">
        <v>332.737</v>
      </c>
      <c r="G146" s="28" t="s">
        <v>51</v>
      </c>
      <c r="H146" s="28" t="n">
        <v>55</v>
      </c>
      <c r="I146" s="28" t="n">
        <v>55</v>
      </c>
      <c r="J146" s="28" t="n">
        <v>7</v>
      </c>
      <c r="K146" s="28" t="n">
        <v>575</v>
      </c>
      <c r="L146" s="28" t="n">
        <v>1758</v>
      </c>
      <c r="M146" s="28" t="n">
        <v>2776</v>
      </c>
    </row>
    <row r="147" customFormat="false" ht="12.8" hidden="false" customHeight="false" outlineLevel="0" collapsed="false">
      <c r="A147" s="5" t="s">
        <v>88</v>
      </c>
      <c r="B147" s="5" t="n">
        <v>10</v>
      </c>
      <c r="C147" s="5" t="n">
        <v>3600</v>
      </c>
      <c r="D147" s="5" t="n">
        <v>125</v>
      </c>
      <c r="E147" s="5" t="n">
        <v>736</v>
      </c>
      <c r="F147" s="28" t="n">
        <v>3600</v>
      </c>
      <c r="G147" s="28" t="s">
        <v>54</v>
      </c>
      <c r="H147" s="28" t="n">
        <v>120.717</v>
      </c>
      <c r="I147" s="28" t="n">
        <v>72</v>
      </c>
      <c r="J147" s="28" t="n">
        <v>53</v>
      </c>
      <c r="K147" s="28" t="n">
        <v>1205</v>
      </c>
      <c r="L147" s="28" t="n">
        <v>8818</v>
      </c>
      <c r="M147" s="28" t="n">
        <v>626</v>
      </c>
    </row>
    <row r="148" customFormat="false" ht="12.8" hidden="false" customHeight="false" outlineLevel="0" collapsed="false">
      <c r="A148" s="5" t="s">
        <v>89</v>
      </c>
      <c r="B148" s="5" t="n">
        <v>10</v>
      </c>
      <c r="C148" s="5" t="n">
        <v>3600</v>
      </c>
      <c r="D148" s="5" t="n">
        <v>125</v>
      </c>
      <c r="E148" s="5" t="n">
        <v>3891</v>
      </c>
      <c r="F148" s="28" t="n">
        <v>3600</v>
      </c>
      <c r="G148" s="28" t="s">
        <v>54</v>
      </c>
      <c r="H148" s="28" t="n">
        <v>114.133</v>
      </c>
      <c r="I148" s="28" t="s">
        <v>175</v>
      </c>
      <c r="J148" s="28" t="s">
        <v>175</v>
      </c>
      <c r="K148" s="28" t="n">
        <v>1049</v>
      </c>
      <c r="L148" s="28" t="n">
        <v>31726</v>
      </c>
      <c r="M148" s="28" t="n">
        <v>1565</v>
      </c>
    </row>
    <row r="149" customFormat="false" ht="12.8" hidden="false" customHeight="false" outlineLevel="0" collapsed="false">
      <c r="A149" s="5" t="s">
        <v>90</v>
      </c>
      <c r="B149" s="5" t="n">
        <v>10</v>
      </c>
      <c r="C149" s="5" t="n">
        <v>3600</v>
      </c>
      <c r="D149" s="5" t="n">
        <v>59</v>
      </c>
      <c r="E149" s="5" t="n">
        <v>256</v>
      </c>
      <c r="F149" s="28" t="n">
        <v>3600</v>
      </c>
      <c r="G149" s="28" t="s">
        <v>54</v>
      </c>
      <c r="H149" s="28" t="n">
        <v>45.4124</v>
      </c>
      <c r="I149" s="28" t="n">
        <v>34</v>
      </c>
      <c r="J149" s="28" t="n">
        <v>25</v>
      </c>
      <c r="K149" s="28" t="n">
        <v>424</v>
      </c>
      <c r="L149" s="28" t="n">
        <v>5497</v>
      </c>
      <c r="M149" s="28" t="n">
        <v>176912</v>
      </c>
    </row>
    <row r="150" customFormat="false" ht="12.8" hidden="false" customHeight="false" outlineLevel="0" collapsed="false">
      <c r="A150" s="5" t="s">
        <v>91</v>
      </c>
      <c r="B150" s="5" t="n">
        <v>10</v>
      </c>
      <c r="C150" s="5" t="n">
        <v>3600</v>
      </c>
      <c r="D150" s="5" t="n">
        <v>66</v>
      </c>
      <c r="E150" s="5" t="n">
        <v>255</v>
      </c>
      <c r="F150" s="28" t="n">
        <v>3600</v>
      </c>
      <c r="G150" s="28" t="s">
        <v>54</v>
      </c>
      <c r="H150" s="28" t="n">
        <v>58.6401</v>
      </c>
      <c r="I150" s="28" t="n">
        <v>31</v>
      </c>
      <c r="J150" s="28" t="n">
        <v>35</v>
      </c>
      <c r="K150" s="28" t="n">
        <v>558</v>
      </c>
      <c r="L150" s="28" t="n">
        <v>5796</v>
      </c>
      <c r="M150" s="28" t="n">
        <v>87386</v>
      </c>
    </row>
    <row r="151" customFormat="false" ht="12.8" hidden="false" customHeight="false" outlineLevel="0" collapsed="false">
      <c r="A151" s="5" t="s">
        <v>92</v>
      </c>
      <c r="B151" s="5" t="n">
        <v>10</v>
      </c>
      <c r="C151" s="5" t="n">
        <v>3600</v>
      </c>
      <c r="D151" s="5" t="n">
        <v>72</v>
      </c>
      <c r="E151" s="5" t="n">
        <v>170</v>
      </c>
      <c r="F151" s="28" t="n">
        <v>3600</v>
      </c>
      <c r="G151" s="28" t="s">
        <v>54</v>
      </c>
      <c r="H151" s="28" t="n">
        <v>67.5497</v>
      </c>
      <c r="I151" s="28" t="n">
        <v>55</v>
      </c>
      <c r="J151" s="28" t="n">
        <v>17</v>
      </c>
      <c r="K151" s="28" t="n">
        <v>597</v>
      </c>
      <c r="L151" s="28" t="n">
        <v>2638</v>
      </c>
      <c r="M151" s="28" t="n">
        <v>71311</v>
      </c>
    </row>
    <row r="152" customFormat="false" ht="12.8" hidden="false" customHeight="false" outlineLevel="0" collapsed="false">
      <c r="A152" s="5" t="s">
        <v>93</v>
      </c>
      <c r="B152" s="5" t="n">
        <v>10</v>
      </c>
      <c r="C152" s="5" t="n">
        <v>3600</v>
      </c>
      <c r="D152" s="5" t="n">
        <v>87</v>
      </c>
      <c r="E152" s="5" t="n">
        <v>726</v>
      </c>
      <c r="F152" s="28" t="n">
        <v>3600</v>
      </c>
      <c r="G152" s="28" t="s">
        <v>54</v>
      </c>
      <c r="H152" s="28" t="n">
        <v>76.2246</v>
      </c>
      <c r="I152" s="28" t="n">
        <v>58</v>
      </c>
      <c r="J152" s="28" t="n">
        <v>29</v>
      </c>
      <c r="K152" s="28" t="n">
        <v>805</v>
      </c>
      <c r="L152" s="28" t="n">
        <v>7854</v>
      </c>
      <c r="M152" s="28" t="n">
        <v>16766</v>
      </c>
    </row>
    <row r="153" customFormat="false" ht="12.8" hidden="false" customHeight="false" outlineLevel="0" collapsed="false">
      <c r="A153" s="5" t="s">
        <v>94</v>
      </c>
      <c r="B153" s="5" t="n">
        <v>10</v>
      </c>
      <c r="C153" s="5" t="n">
        <v>3600</v>
      </c>
      <c r="D153" s="5" t="n">
        <v>115</v>
      </c>
      <c r="E153" s="5" t="n">
        <v>613</v>
      </c>
      <c r="F153" s="28" t="n">
        <v>3600</v>
      </c>
      <c r="G153" s="28" t="s">
        <v>54</v>
      </c>
      <c r="H153" s="28" t="n">
        <v>109</v>
      </c>
      <c r="I153" s="28" t="n">
        <v>65</v>
      </c>
      <c r="J153" s="28" t="n">
        <v>50</v>
      </c>
      <c r="K153" s="28" t="n">
        <v>1070</v>
      </c>
      <c r="L153" s="28" t="n">
        <v>8475</v>
      </c>
      <c r="M153" s="28" t="n">
        <v>190</v>
      </c>
    </row>
    <row r="154" customFormat="false" ht="12.8" hidden="false" customHeight="false" outlineLevel="0" collapsed="false">
      <c r="A154" s="5" t="s">
        <v>95</v>
      </c>
      <c r="B154" s="5" t="n">
        <v>10</v>
      </c>
      <c r="C154" s="5" t="n">
        <v>3600</v>
      </c>
      <c r="D154" s="5" t="n">
        <v>120</v>
      </c>
      <c r="E154" s="5" t="n">
        <v>638</v>
      </c>
      <c r="F154" s="28" t="n">
        <v>3600</v>
      </c>
      <c r="G154" s="28" t="s">
        <v>54</v>
      </c>
      <c r="H154" s="28" t="n">
        <v>117.378</v>
      </c>
      <c r="I154" s="28" t="n">
        <v>69</v>
      </c>
      <c r="J154" s="28" t="n">
        <v>51</v>
      </c>
      <c r="K154" s="28" t="n">
        <v>1137</v>
      </c>
      <c r="L154" s="28" t="n">
        <v>7078</v>
      </c>
      <c r="M154" s="28" t="n">
        <v>600</v>
      </c>
    </row>
    <row r="155" customFormat="false" ht="12.8" hidden="false" customHeight="false" outlineLevel="0" collapsed="false">
      <c r="A155" s="5" t="s">
        <v>96</v>
      </c>
      <c r="B155" s="5" t="n">
        <v>10</v>
      </c>
      <c r="C155" s="5" t="n">
        <v>3600</v>
      </c>
      <c r="D155" s="5" t="n">
        <v>115</v>
      </c>
      <c r="E155" s="5" t="n">
        <v>576</v>
      </c>
      <c r="F155" s="28" t="n">
        <v>3600</v>
      </c>
      <c r="G155" s="28" t="s">
        <v>54</v>
      </c>
      <c r="H155" s="28" t="n">
        <v>107.134</v>
      </c>
      <c r="I155" s="28" t="n">
        <v>89</v>
      </c>
      <c r="J155" s="28" t="n">
        <v>26</v>
      </c>
      <c r="K155" s="28" t="n">
        <v>1054</v>
      </c>
      <c r="L155" s="28" t="n">
        <v>5824</v>
      </c>
      <c r="M155" s="28" t="n">
        <v>6734</v>
      </c>
    </row>
    <row r="156" customFormat="false" ht="12.8" hidden="false" customHeight="false" outlineLevel="0" collapsed="false">
      <c r="A156" s="5" t="s">
        <v>97</v>
      </c>
      <c r="B156" s="5" t="n">
        <v>10</v>
      </c>
      <c r="C156" s="5" t="n">
        <v>3600</v>
      </c>
      <c r="D156" s="5" t="n">
        <v>74</v>
      </c>
      <c r="E156" s="5" t="n">
        <v>301</v>
      </c>
      <c r="F156" s="28" t="n">
        <v>85.1373</v>
      </c>
      <c r="G156" s="28" t="s">
        <v>51</v>
      </c>
      <c r="H156" s="28" t="n">
        <v>71</v>
      </c>
      <c r="I156" s="28" t="n">
        <v>71</v>
      </c>
      <c r="J156" s="28" t="n">
        <v>3</v>
      </c>
      <c r="K156" s="28" t="n">
        <v>695</v>
      </c>
      <c r="L156" s="28" t="n">
        <v>1464</v>
      </c>
      <c r="M156" s="28" t="n">
        <v>306</v>
      </c>
    </row>
    <row r="157" customFormat="false" ht="12.8" hidden="false" customHeight="false" outlineLevel="0" collapsed="false">
      <c r="A157" s="5" t="s">
        <v>99</v>
      </c>
      <c r="B157" s="5" t="n">
        <v>10</v>
      </c>
      <c r="C157" s="5" t="n">
        <v>3600</v>
      </c>
      <c r="D157" s="5" t="n">
        <v>59</v>
      </c>
      <c r="E157" s="5" t="n">
        <v>329</v>
      </c>
      <c r="F157" s="28" t="n">
        <v>695.721</v>
      </c>
      <c r="G157" s="28" t="s">
        <v>51</v>
      </c>
      <c r="H157" s="28" t="n">
        <v>46</v>
      </c>
      <c r="I157" s="28" t="n">
        <v>46</v>
      </c>
      <c r="J157" s="28" t="n">
        <v>13</v>
      </c>
      <c r="K157" s="28" t="n">
        <v>512</v>
      </c>
      <c r="L157" s="28" t="n">
        <v>2917</v>
      </c>
      <c r="M157" s="28" t="n">
        <v>4120</v>
      </c>
    </row>
    <row r="158" customFormat="false" ht="12.8" hidden="false" customHeight="false" outlineLevel="0" collapsed="false">
      <c r="A158" s="5" t="s">
        <v>100</v>
      </c>
      <c r="B158" s="5" t="n">
        <v>10</v>
      </c>
      <c r="C158" s="5" t="n">
        <v>3600</v>
      </c>
      <c r="D158" s="5" t="n">
        <v>198</v>
      </c>
      <c r="E158" s="5" t="n">
        <v>2742</v>
      </c>
      <c r="F158" s="28" t="n">
        <v>3600</v>
      </c>
      <c r="G158" s="28" t="s">
        <v>54</v>
      </c>
      <c r="H158" s="28" t="n">
        <v>194.497</v>
      </c>
      <c r="I158" s="28" t="n">
        <v>185</v>
      </c>
      <c r="J158" s="28" t="n">
        <v>13</v>
      </c>
      <c r="K158" s="28" t="n">
        <v>1917</v>
      </c>
      <c r="L158" s="28" t="n">
        <v>26993</v>
      </c>
      <c r="M158" s="28" t="n">
        <v>317</v>
      </c>
    </row>
    <row r="159" customFormat="false" ht="12.8" hidden="false" customHeight="false" outlineLevel="0" collapsed="false">
      <c r="A159" s="5" t="s">
        <v>101</v>
      </c>
      <c r="B159" s="5" t="n">
        <v>10</v>
      </c>
      <c r="C159" s="5" t="n">
        <v>3600</v>
      </c>
      <c r="D159" s="5" t="n">
        <v>80</v>
      </c>
      <c r="E159" s="5" t="n">
        <v>254</v>
      </c>
      <c r="F159" s="28" t="n">
        <v>39.1329</v>
      </c>
      <c r="G159" s="28" t="s">
        <v>51</v>
      </c>
      <c r="H159" s="28" t="n">
        <v>79</v>
      </c>
      <c r="I159" s="28" t="n">
        <v>79</v>
      </c>
      <c r="J159" s="28" t="n">
        <v>1</v>
      </c>
      <c r="K159" s="28" t="n">
        <v>800</v>
      </c>
      <c r="L159" s="28" t="n">
        <v>2708</v>
      </c>
      <c r="M159" s="28" t="n">
        <v>4</v>
      </c>
    </row>
    <row r="160" customFormat="false" ht="12.8" hidden="false" customHeight="false" outlineLevel="0" collapsed="false">
      <c r="A160" s="5" t="s">
        <v>102</v>
      </c>
      <c r="B160" s="5" t="n">
        <v>10</v>
      </c>
      <c r="C160" s="5" t="n">
        <v>3600</v>
      </c>
      <c r="D160" s="5" t="n">
        <v>34</v>
      </c>
      <c r="E160" s="5" t="n">
        <v>78</v>
      </c>
      <c r="F160" s="28" t="n">
        <v>13.9744</v>
      </c>
      <c r="G160" s="28" t="s">
        <v>51</v>
      </c>
      <c r="H160" s="28" t="n">
        <v>30</v>
      </c>
      <c r="I160" s="28" t="n">
        <v>30</v>
      </c>
      <c r="J160" s="28" t="n">
        <v>4</v>
      </c>
      <c r="K160" s="28" t="n">
        <v>260</v>
      </c>
      <c r="L160" s="28" t="n">
        <v>763</v>
      </c>
      <c r="M160" s="28" t="n">
        <v>8</v>
      </c>
    </row>
    <row r="161" customFormat="false" ht="12.8" hidden="false" customHeight="false" outlineLevel="0" collapsed="false">
      <c r="A161" s="5" t="s">
        <v>103</v>
      </c>
      <c r="B161" s="5" t="n">
        <v>10</v>
      </c>
      <c r="C161" s="5" t="n">
        <v>3600</v>
      </c>
      <c r="D161" s="5" t="n">
        <v>100</v>
      </c>
      <c r="E161" s="5" t="n">
        <v>1844</v>
      </c>
      <c r="F161" s="28" t="n">
        <v>3600</v>
      </c>
      <c r="G161" s="28" t="s">
        <v>54</v>
      </c>
      <c r="H161" s="28" t="n">
        <v>91.2085</v>
      </c>
      <c r="I161" s="28" t="n">
        <v>81</v>
      </c>
      <c r="J161" s="28" t="n">
        <v>20</v>
      </c>
      <c r="K161" s="28" t="n">
        <v>1000</v>
      </c>
      <c r="L161" s="28" t="n">
        <v>18542</v>
      </c>
      <c r="M161" s="28" t="n">
        <v>3460</v>
      </c>
    </row>
    <row r="162" customFormat="false" ht="12.8" hidden="false" customHeight="false" outlineLevel="0" collapsed="false">
      <c r="A162" s="5" t="s">
        <v>108</v>
      </c>
      <c r="B162" s="5" t="n">
        <v>10</v>
      </c>
      <c r="C162" s="5" t="n">
        <v>3600</v>
      </c>
      <c r="D162" s="5" t="n">
        <v>100</v>
      </c>
      <c r="E162" s="5" t="n">
        <v>2956</v>
      </c>
      <c r="F162" s="28" t="n">
        <v>3600.03</v>
      </c>
      <c r="G162" s="28" t="s">
        <v>54</v>
      </c>
      <c r="H162" s="28" t="n">
        <v>90.4138</v>
      </c>
      <c r="I162" s="28" t="n">
        <v>63</v>
      </c>
      <c r="J162" s="28" t="n">
        <v>37</v>
      </c>
      <c r="K162" s="28" t="n">
        <v>858</v>
      </c>
      <c r="L162" s="28" t="n">
        <v>25613</v>
      </c>
      <c r="M162" s="28" t="n">
        <v>710</v>
      </c>
    </row>
    <row r="163" customFormat="false" ht="12.8" hidden="false" customHeight="false" outlineLevel="0" collapsed="false">
      <c r="A163" s="5" t="s">
        <v>109</v>
      </c>
      <c r="B163" s="5" t="n">
        <v>10</v>
      </c>
      <c r="C163" s="5" t="n">
        <v>3600</v>
      </c>
      <c r="D163" s="5" t="n">
        <v>100</v>
      </c>
      <c r="E163" s="5" t="n">
        <v>3039</v>
      </c>
      <c r="F163" s="28" t="n">
        <v>3600</v>
      </c>
      <c r="G163" s="28" t="s">
        <v>54</v>
      </c>
      <c r="H163" s="28" t="n">
        <v>88.6141</v>
      </c>
      <c r="I163" s="28" t="n">
        <v>59</v>
      </c>
      <c r="J163" s="28" t="n">
        <v>41</v>
      </c>
      <c r="K163" s="28" t="n">
        <v>858</v>
      </c>
      <c r="L163" s="28" t="n">
        <v>28883</v>
      </c>
      <c r="M163" s="28" t="n">
        <v>1848</v>
      </c>
    </row>
    <row r="164" customFormat="false" ht="12.8" hidden="false" customHeight="false" outlineLevel="0" collapsed="false">
      <c r="A164" s="5" t="s">
        <v>110</v>
      </c>
      <c r="B164" s="5" t="n">
        <v>10</v>
      </c>
      <c r="C164" s="5" t="n">
        <v>3600</v>
      </c>
      <c r="D164" s="5" t="n">
        <v>100</v>
      </c>
      <c r="E164" s="5" t="n">
        <v>2934</v>
      </c>
      <c r="F164" s="28" t="n">
        <v>1428.66</v>
      </c>
      <c r="G164" s="28" t="s">
        <v>51</v>
      </c>
      <c r="H164" s="28" t="n">
        <v>88</v>
      </c>
      <c r="I164" s="28" t="n">
        <v>88</v>
      </c>
      <c r="J164" s="28" t="n">
        <v>12</v>
      </c>
      <c r="K164" s="28" t="n">
        <v>955</v>
      </c>
      <c r="L164" s="28" t="n">
        <v>6501</v>
      </c>
      <c r="M164" s="28" t="n">
        <v>163</v>
      </c>
    </row>
    <row r="165" customFormat="false" ht="12.8" hidden="false" customHeight="false" outlineLevel="0" collapsed="false">
      <c r="A165" s="5" t="s">
        <v>111</v>
      </c>
      <c r="B165" s="5" t="n">
        <v>10</v>
      </c>
      <c r="C165" s="5" t="n">
        <v>3600</v>
      </c>
      <c r="D165" s="5" t="n">
        <v>120</v>
      </c>
      <c r="E165" s="5" t="n">
        <v>2972</v>
      </c>
      <c r="F165" s="28" t="n">
        <v>3600</v>
      </c>
      <c r="G165" s="28" t="s">
        <v>54</v>
      </c>
      <c r="H165" s="28" t="n">
        <v>113.858</v>
      </c>
      <c r="I165" s="28" t="n">
        <v>99</v>
      </c>
      <c r="J165" s="28" t="n">
        <v>21</v>
      </c>
      <c r="K165" s="28" t="n">
        <v>1200</v>
      </c>
      <c r="L165" s="28" t="n">
        <v>30362</v>
      </c>
      <c r="M165" s="28" t="n">
        <v>1783</v>
      </c>
    </row>
    <row r="166" customFormat="false" ht="12.8" hidden="false" customHeight="false" outlineLevel="0" collapsed="false">
      <c r="A166" s="5" t="s">
        <v>116</v>
      </c>
      <c r="B166" s="5" t="n">
        <v>10</v>
      </c>
      <c r="C166" s="5" t="n">
        <v>3600</v>
      </c>
      <c r="D166" s="5" t="n">
        <v>120</v>
      </c>
      <c r="E166" s="5" t="n">
        <v>3387</v>
      </c>
      <c r="F166" s="28" t="n">
        <v>1648.73</v>
      </c>
      <c r="G166" s="28" t="s">
        <v>51</v>
      </c>
      <c r="H166" s="28" t="n">
        <v>112</v>
      </c>
      <c r="I166" s="28" t="n">
        <v>112</v>
      </c>
      <c r="J166" s="28" t="n">
        <v>8</v>
      </c>
      <c r="K166" s="28" t="n">
        <v>1155</v>
      </c>
      <c r="L166" s="28" t="n">
        <v>32379</v>
      </c>
      <c r="M166" s="28" t="n">
        <v>161</v>
      </c>
    </row>
    <row r="167" customFormat="false" ht="12.8" hidden="false" customHeight="false" outlineLevel="0" collapsed="false">
      <c r="A167" s="5" t="s">
        <v>117</v>
      </c>
      <c r="B167" s="5" t="n">
        <v>10</v>
      </c>
      <c r="C167" s="5" t="n">
        <v>3600</v>
      </c>
      <c r="D167" s="5" t="n">
        <v>125</v>
      </c>
      <c r="E167" s="5" t="n">
        <v>390</v>
      </c>
      <c r="F167" s="28" t="n">
        <v>3600</v>
      </c>
      <c r="G167" s="28" t="s">
        <v>54</v>
      </c>
      <c r="H167" s="28" t="n">
        <v>121.519</v>
      </c>
      <c r="I167" s="28" t="n">
        <v>104</v>
      </c>
      <c r="J167" s="28" t="n">
        <v>21</v>
      </c>
      <c r="K167" s="28" t="n">
        <v>1136</v>
      </c>
      <c r="L167" s="28" t="n">
        <v>3969</v>
      </c>
      <c r="M167" s="28" t="n">
        <v>5530</v>
      </c>
    </row>
    <row r="168" customFormat="false" ht="12.8" hidden="false" customHeight="false" outlineLevel="0" collapsed="false">
      <c r="A168" s="5" t="s">
        <v>119</v>
      </c>
      <c r="B168" s="5" t="n">
        <v>10</v>
      </c>
      <c r="C168" s="5" t="n">
        <v>3600</v>
      </c>
      <c r="D168" s="5" t="n">
        <v>125</v>
      </c>
      <c r="E168" s="5" t="n">
        <v>1257</v>
      </c>
      <c r="F168" s="28" t="n">
        <v>3600</v>
      </c>
      <c r="G168" s="28" t="s">
        <v>54</v>
      </c>
      <c r="H168" s="28" t="n">
        <v>116.802</v>
      </c>
      <c r="I168" s="28" t="n">
        <v>51</v>
      </c>
      <c r="J168" s="28" t="n">
        <v>74</v>
      </c>
      <c r="K168" s="28" t="n">
        <v>1104</v>
      </c>
      <c r="L168" s="28" t="n">
        <v>11136</v>
      </c>
      <c r="M168" s="28" t="n">
        <v>1</v>
      </c>
    </row>
    <row r="169" customFormat="false" ht="12.8" hidden="false" customHeight="false" outlineLevel="0" collapsed="false">
      <c r="A169" s="5" t="s">
        <v>120</v>
      </c>
      <c r="B169" s="5" t="n">
        <v>10</v>
      </c>
      <c r="C169" s="5" t="n">
        <v>3600</v>
      </c>
      <c r="D169" s="5" t="n">
        <v>125</v>
      </c>
      <c r="E169" s="5" t="n">
        <v>1022</v>
      </c>
      <c r="F169" s="28" t="n">
        <v>3600</v>
      </c>
      <c r="G169" s="28" t="s">
        <v>54</v>
      </c>
      <c r="H169" s="28" t="n">
        <v>119.895</v>
      </c>
      <c r="I169" s="28" t="n">
        <v>69</v>
      </c>
      <c r="J169" s="28" t="n">
        <v>56</v>
      </c>
      <c r="K169" s="28" t="n">
        <v>1125</v>
      </c>
      <c r="L169" s="28" t="n">
        <v>9936</v>
      </c>
      <c r="M169" s="28" t="n">
        <v>186</v>
      </c>
    </row>
    <row r="170" customFormat="false" ht="12.8" hidden="false" customHeight="false" outlineLevel="0" collapsed="false">
      <c r="A170" s="5" t="s">
        <v>121</v>
      </c>
      <c r="B170" s="5" t="n">
        <v>10</v>
      </c>
      <c r="C170" s="5" t="n">
        <v>3600</v>
      </c>
      <c r="D170" s="5" t="n">
        <v>125</v>
      </c>
      <c r="E170" s="5" t="n">
        <v>943</v>
      </c>
      <c r="F170" s="28" t="n">
        <v>3600</v>
      </c>
      <c r="G170" s="28" t="s">
        <v>54</v>
      </c>
      <c r="H170" s="28" t="n">
        <v>121.264</v>
      </c>
      <c r="I170" s="28" t="n">
        <v>67</v>
      </c>
      <c r="J170" s="28" t="n">
        <v>58</v>
      </c>
      <c r="K170" s="28" t="n">
        <v>1132</v>
      </c>
      <c r="L170" s="28" t="n">
        <v>11036</v>
      </c>
      <c r="M170" s="28" t="n">
        <v>2657</v>
      </c>
    </row>
    <row r="171" customFormat="false" ht="12.8" hidden="false" customHeight="false" outlineLevel="0" collapsed="false">
      <c r="A171" s="5" t="s">
        <v>124</v>
      </c>
      <c r="B171" s="5" t="n">
        <v>10</v>
      </c>
      <c r="C171" s="5" t="n">
        <v>3600</v>
      </c>
      <c r="D171" s="5" t="n">
        <v>125</v>
      </c>
      <c r="E171" s="5" t="n">
        <v>1177</v>
      </c>
      <c r="F171" s="28" t="n">
        <v>3600</v>
      </c>
      <c r="G171" s="28" t="s">
        <v>54</v>
      </c>
      <c r="H171" s="28" t="n">
        <v>117.309</v>
      </c>
      <c r="I171" s="28" t="n">
        <v>52</v>
      </c>
      <c r="J171" s="28" t="n">
        <v>73</v>
      </c>
      <c r="K171" s="28" t="n">
        <v>1045</v>
      </c>
      <c r="L171" s="28" t="n">
        <v>10462</v>
      </c>
      <c r="M171" s="28" t="n">
        <v>2692</v>
      </c>
    </row>
    <row r="172" customFormat="false" ht="12.8" hidden="false" customHeight="false" outlineLevel="0" collapsed="false">
      <c r="A172" s="5" t="s">
        <v>125</v>
      </c>
      <c r="B172" s="5" t="n">
        <v>10</v>
      </c>
      <c r="C172" s="5" t="n">
        <v>3600</v>
      </c>
      <c r="D172" s="5" t="n">
        <v>125</v>
      </c>
      <c r="E172" s="5" t="n">
        <v>1218</v>
      </c>
      <c r="F172" s="28" t="n">
        <v>3600</v>
      </c>
      <c r="G172" s="28" t="s">
        <v>54</v>
      </c>
      <c r="H172" s="28" t="n">
        <v>117.948</v>
      </c>
      <c r="I172" s="28" t="n">
        <v>59</v>
      </c>
      <c r="J172" s="28" t="n">
        <v>66</v>
      </c>
      <c r="K172" s="28" t="n">
        <v>1105</v>
      </c>
      <c r="L172" s="28" t="n">
        <v>11904</v>
      </c>
      <c r="M172" s="28" t="n">
        <v>189</v>
      </c>
    </row>
    <row r="173" customFormat="false" ht="12.8" hidden="false" customHeight="false" outlineLevel="0" collapsed="false">
      <c r="A173" s="5" t="s">
        <v>126</v>
      </c>
      <c r="B173" s="5" t="n">
        <v>10</v>
      </c>
      <c r="C173" s="5" t="n">
        <v>3600</v>
      </c>
      <c r="D173" s="5" t="n">
        <v>125</v>
      </c>
      <c r="E173" s="5" t="n">
        <v>444</v>
      </c>
      <c r="F173" s="28" t="n">
        <v>3600</v>
      </c>
      <c r="G173" s="28" t="s">
        <v>54</v>
      </c>
      <c r="H173" s="28" t="n">
        <v>121.7</v>
      </c>
      <c r="I173" s="28" t="n">
        <v>113</v>
      </c>
      <c r="J173" s="28" t="n">
        <v>12</v>
      </c>
      <c r="K173" s="28" t="n">
        <v>1196</v>
      </c>
      <c r="L173" s="28" t="n">
        <v>4597</v>
      </c>
      <c r="M173" s="28" t="n">
        <v>21916</v>
      </c>
    </row>
    <row r="174" customFormat="false" ht="12.8" hidden="false" customHeight="false" outlineLevel="0" collapsed="false">
      <c r="A174" s="5" t="s">
        <v>127</v>
      </c>
      <c r="B174" s="5" t="n">
        <v>10</v>
      </c>
      <c r="C174" s="5" t="n">
        <v>3600</v>
      </c>
      <c r="D174" s="5" t="n">
        <v>125</v>
      </c>
      <c r="E174" s="5" t="n">
        <v>386</v>
      </c>
      <c r="F174" s="28" t="n">
        <v>3600</v>
      </c>
      <c r="G174" s="28" t="s">
        <v>54</v>
      </c>
      <c r="H174" s="28" t="n">
        <v>120.166</v>
      </c>
      <c r="I174" s="28" t="n">
        <v>111</v>
      </c>
      <c r="J174" s="28" t="n">
        <v>14</v>
      </c>
      <c r="K174" s="28" t="n">
        <v>1160</v>
      </c>
      <c r="L174" s="28" t="n">
        <v>4670</v>
      </c>
      <c r="M174" s="28" t="n">
        <v>10042</v>
      </c>
    </row>
    <row r="175" customFormat="false" ht="12.8" hidden="false" customHeight="false" outlineLevel="0" collapsed="false">
      <c r="A175" s="5" t="s">
        <v>128</v>
      </c>
      <c r="B175" s="5" t="n">
        <v>10</v>
      </c>
      <c r="C175" s="5" t="n">
        <v>3600</v>
      </c>
      <c r="D175" s="5" t="n">
        <v>80</v>
      </c>
      <c r="E175" s="5" t="n">
        <v>1201</v>
      </c>
      <c r="F175" s="28" t="n">
        <v>283.007</v>
      </c>
      <c r="G175" s="28" t="s">
        <v>51</v>
      </c>
      <c r="H175" s="28" t="n">
        <v>70</v>
      </c>
      <c r="I175" s="28" t="n">
        <v>70</v>
      </c>
      <c r="J175" s="28" t="n">
        <v>10</v>
      </c>
      <c r="K175" s="28" t="n">
        <v>800</v>
      </c>
      <c r="L175" s="28" t="n">
        <v>10710</v>
      </c>
      <c r="M175" s="28" t="n">
        <v>121</v>
      </c>
    </row>
    <row r="176" customFormat="false" ht="12.8" hidden="false" customHeight="false" outlineLevel="0" collapsed="false">
      <c r="A176" s="5" t="s">
        <v>131</v>
      </c>
      <c r="B176" s="5" t="n">
        <v>10</v>
      </c>
      <c r="C176" s="5" t="n">
        <v>3600</v>
      </c>
      <c r="D176" s="5" t="n">
        <v>80</v>
      </c>
      <c r="E176" s="5" t="n">
        <v>1786</v>
      </c>
      <c r="F176" s="28" t="n">
        <v>3600</v>
      </c>
      <c r="G176" s="28" t="s">
        <v>54</v>
      </c>
      <c r="H176" s="28" t="n">
        <v>57.0807</v>
      </c>
      <c r="I176" s="28" t="n">
        <v>44</v>
      </c>
      <c r="J176" s="28" t="n">
        <v>36</v>
      </c>
      <c r="K176" s="28" t="n">
        <v>755</v>
      </c>
      <c r="L176" s="28" t="n">
        <v>19908</v>
      </c>
      <c r="M176" s="28" t="n">
        <v>6733</v>
      </c>
    </row>
    <row r="177" customFormat="false" ht="12.8" hidden="false" customHeight="false" outlineLevel="0" collapsed="false">
      <c r="A177" s="5" t="s">
        <v>132</v>
      </c>
      <c r="B177" s="5" t="n">
        <v>10</v>
      </c>
      <c r="C177" s="5" t="n">
        <v>3600</v>
      </c>
      <c r="D177" s="5" t="n">
        <v>80</v>
      </c>
      <c r="E177" s="5" t="n">
        <v>1848</v>
      </c>
      <c r="F177" s="28" t="n">
        <v>2527.54</v>
      </c>
      <c r="G177" s="28" t="s">
        <v>51</v>
      </c>
      <c r="H177" s="28" t="n">
        <v>32</v>
      </c>
      <c r="I177" s="28" t="n">
        <v>32</v>
      </c>
      <c r="J177" s="28" t="n">
        <v>48</v>
      </c>
      <c r="K177" s="28" t="n">
        <v>656</v>
      </c>
      <c r="L177" s="28" t="n">
        <v>2115</v>
      </c>
      <c r="M177" s="28" t="n">
        <v>162</v>
      </c>
    </row>
    <row r="178" customFormat="false" ht="12.8" hidden="false" customHeight="false" outlineLevel="0" collapsed="false">
      <c r="A178" s="5" t="s">
        <v>133</v>
      </c>
      <c r="B178" s="5" t="n">
        <v>10</v>
      </c>
      <c r="C178" s="5" t="n">
        <v>3600</v>
      </c>
      <c r="D178" s="5" t="n">
        <v>80</v>
      </c>
      <c r="E178" s="5" t="n">
        <v>1739</v>
      </c>
      <c r="F178" s="28" t="n">
        <v>1051.63</v>
      </c>
      <c r="G178" s="28" t="s">
        <v>51</v>
      </c>
      <c r="H178" s="28" t="n">
        <v>68</v>
      </c>
      <c r="I178" s="28" t="n">
        <v>68</v>
      </c>
      <c r="J178" s="28" t="n">
        <v>12</v>
      </c>
      <c r="K178" s="28" t="n">
        <v>755</v>
      </c>
      <c r="L178" s="28" t="n">
        <v>2027</v>
      </c>
      <c r="M178" s="28" t="n">
        <v>177</v>
      </c>
    </row>
    <row r="179" customFormat="false" ht="12.8" hidden="false" customHeight="false" outlineLevel="0" collapsed="false">
      <c r="A179" s="5" t="s">
        <v>134</v>
      </c>
      <c r="B179" s="5" t="n">
        <v>10</v>
      </c>
      <c r="C179" s="5" t="n">
        <v>3600</v>
      </c>
      <c r="D179" s="5" t="n">
        <v>77</v>
      </c>
      <c r="E179" s="5" t="n">
        <v>254</v>
      </c>
      <c r="F179" s="28" t="n">
        <v>35.4434</v>
      </c>
      <c r="G179" s="28" t="s">
        <v>51</v>
      </c>
      <c r="H179" s="28" t="n">
        <v>75</v>
      </c>
      <c r="I179" s="28" t="n">
        <v>75</v>
      </c>
      <c r="J179" s="28" t="n">
        <v>2</v>
      </c>
      <c r="K179" s="28" t="n">
        <v>770</v>
      </c>
      <c r="L179" s="28" t="n">
        <v>2607</v>
      </c>
      <c r="M179" s="28" t="n">
        <v>16</v>
      </c>
    </row>
    <row r="180" customFormat="false" ht="12.8" hidden="false" customHeight="false" outlineLevel="0" collapsed="false">
      <c r="A180" s="5" t="s">
        <v>135</v>
      </c>
      <c r="B180" s="5" t="n">
        <v>10</v>
      </c>
      <c r="C180" s="5" t="n">
        <v>3600</v>
      </c>
      <c r="D180" s="5" t="n">
        <v>147</v>
      </c>
      <c r="E180" s="5" t="n">
        <v>2837</v>
      </c>
      <c r="F180" s="28" t="n">
        <v>3600</v>
      </c>
      <c r="G180" s="28" t="s">
        <v>54</v>
      </c>
      <c r="H180" s="28" t="n">
        <v>140.926</v>
      </c>
      <c r="I180" s="28" t="n">
        <v>24</v>
      </c>
      <c r="J180" s="28" t="n">
        <v>123</v>
      </c>
      <c r="K180" s="28" t="n">
        <v>1269</v>
      </c>
      <c r="L180" s="28" t="n">
        <v>25011</v>
      </c>
      <c r="M180" s="28" t="n">
        <v>161</v>
      </c>
    </row>
    <row r="181" customFormat="false" ht="12.8" hidden="false" customHeight="false" outlineLevel="0" collapsed="false">
      <c r="A181" s="5" t="s">
        <v>138</v>
      </c>
      <c r="B181" s="5" t="n">
        <v>10</v>
      </c>
      <c r="C181" s="5" t="n">
        <v>3600</v>
      </c>
      <c r="D181" s="5" t="n">
        <v>128</v>
      </c>
      <c r="E181" s="5" t="n">
        <v>387</v>
      </c>
      <c r="F181" s="28" t="n">
        <v>21.6704</v>
      </c>
      <c r="G181" s="28" t="s">
        <v>51</v>
      </c>
      <c r="H181" s="28" t="n">
        <v>128</v>
      </c>
      <c r="I181" s="28" t="n">
        <v>128</v>
      </c>
      <c r="J181" s="28" t="n">
        <v>0</v>
      </c>
      <c r="K181" s="28" t="n">
        <v>1235</v>
      </c>
      <c r="L181" s="28" t="n">
        <v>3872</v>
      </c>
      <c r="M181" s="28" t="n">
        <v>6</v>
      </c>
    </row>
    <row r="182" customFormat="false" ht="12.8" hidden="false" customHeight="false" outlineLevel="0" collapsed="false">
      <c r="A182" s="5" t="s">
        <v>139</v>
      </c>
      <c r="B182" s="5" t="n">
        <v>10</v>
      </c>
      <c r="C182" s="5" t="n">
        <v>3600</v>
      </c>
      <c r="D182" s="5" t="n">
        <v>128</v>
      </c>
      <c r="E182" s="5" t="n">
        <v>1170</v>
      </c>
      <c r="F182" s="28" t="n">
        <v>3600</v>
      </c>
      <c r="G182" s="28" t="s">
        <v>54</v>
      </c>
      <c r="H182" s="28" t="n">
        <v>125.098</v>
      </c>
      <c r="I182" s="28" t="n">
        <v>101</v>
      </c>
      <c r="J182" s="28" t="n">
        <v>27</v>
      </c>
      <c r="K182" s="28" t="n">
        <v>1221</v>
      </c>
      <c r="L182" s="28" t="n">
        <v>12210</v>
      </c>
      <c r="M182" s="28" t="n">
        <v>508</v>
      </c>
    </row>
    <row r="183" customFormat="false" ht="12.8" hidden="false" customHeight="false" outlineLevel="0" collapsed="false">
      <c r="A183" s="5" t="s">
        <v>140</v>
      </c>
      <c r="B183" s="5" t="n">
        <v>10</v>
      </c>
      <c r="C183" s="5" t="n">
        <v>3600</v>
      </c>
      <c r="D183" s="5" t="n">
        <v>128</v>
      </c>
      <c r="E183" s="5" t="n">
        <v>2113</v>
      </c>
      <c r="F183" s="28" t="n">
        <v>3600</v>
      </c>
      <c r="G183" s="28" t="s">
        <v>54</v>
      </c>
      <c r="H183" s="28" t="n">
        <v>122.873</v>
      </c>
      <c r="I183" s="28" t="n">
        <v>45</v>
      </c>
      <c r="J183" s="28" t="n">
        <v>83</v>
      </c>
      <c r="K183" s="28" t="n">
        <v>1189</v>
      </c>
      <c r="L183" s="28" t="n">
        <v>23413</v>
      </c>
      <c r="M183" s="28" t="n">
        <v>977</v>
      </c>
    </row>
    <row r="184" customFormat="false" ht="12.8" hidden="false" customHeight="false" outlineLevel="0" collapsed="false">
      <c r="A184" s="5" t="s">
        <v>141</v>
      </c>
      <c r="B184" s="5" t="n">
        <v>10</v>
      </c>
      <c r="C184" s="5" t="n">
        <v>3600</v>
      </c>
      <c r="D184" s="5" t="n">
        <v>100</v>
      </c>
      <c r="E184" s="5" t="n">
        <v>166</v>
      </c>
      <c r="F184" s="28" t="n">
        <v>3600</v>
      </c>
      <c r="G184" s="28" t="s">
        <v>54</v>
      </c>
      <c r="H184" s="28" t="n">
        <v>97.291</v>
      </c>
      <c r="I184" s="28" t="n">
        <v>89</v>
      </c>
      <c r="J184" s="28" t="n">
        <v>11</v>
      </c>
      <c r="K184" s="28" t="n">
        <v>902</v>
      </c>
      <c r="L184" s="28" t="n">
        <v>1992</v>
      </c>
      <c r="M184" s="28" t="n">
        <v>19712</v>
      </c>
    </row>
    <row r="185" customFormat="false" ht="12.8" hidden="false" customHeight="false" outlineLevel="0" collapsed="false">
      <c r="A185" s="5" t="s">
        <v>142</v>
      </c>
      <c r="B185" s="5" t="n">
        <v>10</v>
      </c>
      <c r="C185" s="5" t="n">
        <v>3600</v>
      </c>
      <c r="D185" s="5" t="n">
        <v>100</v>
      </c>
      <c r="E185" s="5" t="n">
        <v>166</v>
      </c>
      <c r="F185" s="28" t="n">
        <v>3600</v>
      </c>
      <c r="G185" s="28" t="s">
        <v>54</v>
      </c>
      <c r="H185" s="28" t="n">
        <v>97.525</v>
      </c>
      <c r="I185" s="28" t="n">
        <v>90</v>
      </c>
      <c r="J185" s="28" t="n">
        <v>10</v>
      </c>
      <c r="K185" s="28" t="n">
        <v>913</v>
      </c>
      <c r="L185" s="28" t="n">
        <v>1737</v>
      </c>
      <c r="M185" s="28" t="n">
        <v>24994</v>
      </c>
    </row>
    <row r="186" customFormat="false" ht="12.8" hidden="false" customHeight="false" outlineLevel="0" collapsed="false">
      <c r="A186" s="5" t="s">
        <v>143</v>
      </c>
      <c r="B186" s="5" t="n">
        <v>10</v>
      </c>
      <c r="C186" s="5" t="n">
        <v>3600</v>
      </c>
      <c r="D186" s="5" t="n">
        <v>88</v>
      </c>
      <c r="E186" s="5" t="n">
        <v>146</v>
      </c>
      <c r="F186" s="28" t="n">
        <v>3600</v>
      </c>
      <c r="G186" s="28" t="s">
        <v>54</v>
      </c>
      <c r="H186" s="28" t="n">
        <v>84.7365</v>
      </c>
      <c r="I186" s="28" t="n">
        <v>77</v>
      </c>
      <c r="J186" s="28" t="n">
        <v>11</v>
      </c>
      <c r="K186" s="28" t="n">
        <v>815</v>
      </c>
      <c r="L186" s="28" t="n">
        <v>2023</v>
      </c>
      <c r="M186" s="28" t="n">
        <v>37550</v>
      </c>
    </row>
    <row r="187" customFormat="false" ht="12.8" hidden="false" customHeight="false" outlineLevel="0" collapsed="false">
      <c r="A187" s="5" t="s">
        <v>144</v>
      </c>
      <c r="B187" s="5" t="n">
        <v>10</v>
      </c>
      <c r="C187" s="5" t="n">
        <v>3600</v>
      </c>
      <c r="D187" s="5" t="n">
        <v>88</v>
      </c>
      <c r="E187" s="5" t="n">
        <v>146</v>
      </c>
      <c r="F187" s="28" t="n">
        <v>3600</v>
      </c>
      <c r="G187" s="28" t="s">
        <v>54</v>
      </c>
      <c r="H187" s="28" t="n">
        <v>84.927</v>
      </c>
      <c r="I187" s="28" t="n">
        <v>78</v>
      </c>
      <c r="J187" s="28" t="n">
        <v>10</v>
      </c>
      <c r="K187" s="28" t="n">
        <v>834</v>
      </c>
      <c r="L187" s="28" t="n">
        <v>2123</v>
      </c>
      <c r="M187" s="28" t="n">
        <v>51213</v>
      </c>
    </row>
    <row r="188" customFormat="false" ht="12.8" hidden="false" customHeight="false" outlineLevel="0" collapsed="false">
      <c r="A188" s="5" t="s">
        <v>145</v>
      </c>
      <c r="B188" s="5" t="n">
        <v>10</v>
      </c>
      <c r="C188" s="5" t="n">
        <v>3600</v>
      </c>
      <c r="D188" s="5" t="n">
        <v>188</v>
      </c>
      <c r="E188" s="5" t="n">
        <v>3885</v>
      </c>
      <c r="F188" s="28" t="n">
        <v>45.913</v>
      </c>
      <c r="G188" s="28" t="s">
        <v>51</v>
      </c>
      <c r="H188" s="28" t="n">
        <v>188</v>
      </c>
      <c r="I188" s="28" t="n">
        <v>188</v>
      </c>
      <c r="J188" s="28" t="n">
        <v>0</v>
      </c>
      <c r="K188" s="28" t="n">
        <v>1880</v>
      </c>
      <c r="L188" s="28" t="n">
        <v>39056</v>
      </c>
      <c r="M188" s="28" t="n">
        <v>1</v>
      </c>
    </row>
    <row r="189" customFormat="false" ht="12.8" hidden="false" customHeight="false" outlineLevel="0" collapsed="false">
      <c r="A189" s="5" t="s">
        <v>146</v>
      </c>
      <c r="B189" s="5" t="n">
        <v>10</v>
      </c>
      <c r="C189" s="5" t="n">
        <v>3600</v>
      </c>
      <c r="D189" s="5" t="n">
        <v>184</v>
      </c>
      <c r="E189" s="5" t="n">
        <v>3916</v>
      </c>
      <c r="F189" s="28" t="n">
        <v>42.8845</v>
      </c>
      <c r="G189" s="28" t="s">
        <v>51</v>
      </c>
      <c r="H189" s="28" t="n">
        <v>184</v>
      </c>
      <c r="I189" s="28" t="n">
        <v>184</v>
      </c>
      <c r="J189" s="28" t="n">
        <v>0</v>
      </c>
      <c r="K189" s="28" t="n">
        <v>1840</v>
      </c>
      <c r="L189" s="28" t="n">
        <v>39362</v>
      </c>
      <c r="M189" s="28" t="n">
        <v>1</v>
      </c>
    </row>
    <row r="190" customFormat="false" ht="12.8" hidden="false" customHeight="false" outlineLevel="0" collapsed="false">
      <c r="A190" s="5" t="s">
        <v>147</v>
      </c>
      <c r="B190" s="5" t="n">
        <v>10</v>
      </c>
      <c r="C190" s="5" t="n">
        <v>3600</v>
      </c>
      <c r="D190" s="5" t="n">
        <v>185</v>
      </c>
      <c r="E190" s="5" t="n">
        <v>3946</v>
      </c>
      <c r="F190" s="28" t="n">
        <v>29.8081</v>
      </c>
      <c r="G190" s="28" t="s">
        <v>51</v>
      </c>
      <c r="H190" s="28" t="n">
        <v>185</v>
      </c>
      <c r="I190" s="28" t="n">
        <v>185</v>
      </c>
      <c r="J190" s="28" t="n">
        <v>0</v>
      </c>
      <c r="K190" s="28" t="n">
        <v>1850</v>
      </c>
      <c r="L190" s="28" t="n">
        <v>39663</v>
      </c>
      <c r="M190" s="28" t="n">
        <v>1</v>
      </c>
    </row>
    <row r="191" customFormat="false" ht="12.8" hidden="false" customHeight="false" outlineLevel="0" collapsed="false">
      <c r="A191" s="5" t="s">
        <v>148</v>
      </c>
      <c r="B191" s="5" t="n">
        <v>10</v>
      </c>
      <c r="C191" s="5" t="n">
        <v>3600</v>
      </c>
      <c r="D191" s="5" t="n">
        <v>186</v>
      </c>
      <c r="E191" s="5" t="n">
        <v>3973</v>
      </c>
      <c r="F191" s="28" t="n">
        <v>31.1463</v>
      </c>
      <c r="G191" s="28" t="s">
        <v>51</v>
      </c>
      <c r="H191" s="28" t="n">
        <v>186</v>
      </c>
      <c r="I191" s="28" t="n">
        <v>186</v>
      </c>
      <c r="J191" s="28" t="n">
        <v>0</v>
      </c>
      <c r="K191" s="28" t="n">
        <v>1860</v>
      </c>
      <c r="L191" s="28" t="n">
        <v>39934</v>
      </c>
      <c r="M191" s="28" t="n">
        <v>1</v>
      </c>
    </row>
    <row r="192" customFormat="false" ht="12.8" hidden="false" customHeight="false" outlineLevel="0" collapsed="false">
      <c r="A192" s="5" t="s">
        <v>150</v>
      </c>
      <c r="B192" s="5" t="n">
        <v>10</v>
      </c>
      <c r="C192" s="5" t="n">
        <v>3600</v>
      </c>
      <c r="D192" s="5" t="n">
        <v>23</v>
      </c>
      <c r="E192" s="5" t="n">
        <v>71</v>
      </c>
      <c r="F192" s="28" t="n">
        <v>0.174029</v>
      </c>
      <c r="G192" s="28" t="s">
        <v>51</v>
      </c>
      <c r="H192" s="28" t="n">
        <v>11</v>
      </c>
      <c r="I192" s="28" t="n">
        <v>11</v>
      </c>
      <c r="J192" s="28" t="n">
        <v>12</v>
      </c>
      <c r="K192" s="28" t="n">
        <v>66</v>
      </c>
      <c r="L192" s="28" t="n">
        <v>4</v>
      </c>
      <c r="M192" s="28" t="n">
        <v>1</v>
      </c>
    </row>
    <row r="193" customFormat="false" ht="12.8" hidden="false" customHeight="false" outlineLevel="0" collapsed="false">
      <c r="A193" s="5" t="s">
        <v>151</v>
      </c>
      <c r="B193" s="5" t="n">
        <v>10</v>
      </c>
      <c r="C193" s="5" t="n">
        <v>3600</v>
      </c>
      <c r="D193" s="5" t="n">
        <v>47</v>
      </c>
      <c r="E193" s="5" t="n">
        <v>236</v>
      </c>
      <c r="F193" s="28" t="n">
        <v>87.7476</v>
      </c>
      <c r="G193" s="28" t="s">
        <v>51</v>
      </c>
      <c r="H193" s="28" t="n">
        <v>34</v>
      </c>
      <c r="I193" s="28" t="n">
        <v>34</v>
      </c>
      <c r="J193" s="28" t="n">
        <v>13</v>
      </c>
      <c r="K193" s="28" t="n">
        <v>367</v>
      </c>
      <c r="L193" s="28" t="n">
        <v>1334</v>
      </c>
      <c r="M193" s="28" t="n">
        <v>488</v>
      </c>
    </row>
    <row r="194" customFormat="false" ht="12.8" hidden="false" customHeight="false" outlineLevel="0" collapsed="false">
      <c r="A194" s="5" t="s">
        <v>152</v>
      </c>
      <c r="B194" s="5" t="n">
        <v>10</v>
      </c>
      <c r="C194" s="5" t="n">
        <v>3600</v>
      </c>
      <c r="D194" s="5" t="n">
        <v>95</v>
      </c>
      <c r="E194" s="5" t="n">
        <v>755</v>
      </c>
      <c r="F194" s="28" t="n">
        <v>606.324</v>
      </c>
      <c r="G194" s="28" t="s">
        <v>51</v>
      </c>
      <c r="H194" s="28" t="n">
        <v>81</v>
      </c>
      <c r="I194" s="28" t="n">
        <v>81</v>
      </c>
      <c r="J194" s="28" t="n">
        <v>14</v>
      </c>
      <c r="K194" s="28" t="n">
        <v>855</v>
      </c>
      <c r="L194" s="28" t="n">
        <v>4195</v>
      </c>
      <c r="M194" s="28" t="n">
        <v>852</v>
      </c>
    </row>
    <row r="195" customFormat="false" ht="12.8" hidden="false" customHeight="false" outlineLevel="0" collapsed="false">
      <c r="A195" s="5" t="s">
        <v>153</v>
      </c>
      <c r="B195" s="5" t="n">
        <v>10</v>
      </c>
      <c r="C195" s="5" t="n">
        <v>3600</v>
      </c>
      <c r="D195" s="5" t="n">
        <v>191</v>
      </c>
      <c r="E195" s="5" t="n">
        <v>2360</v>
      </c>
      <c r="F195" s="28" t="n">
        <v>3600</v>
      </c>
      <c r="G195" s="28" t="s">
        <v>54</v>
      </c>
      <c r="H195" s="28" t="n">
        <v>186.084</v>
      </c>
      <c r="I195" s="28" t="n">
        <v>176</v>
      </c>
      <c r="J195" s="28" t="n">
        <v>15</v>
      </c>
      <c r="K195" s="28" t="n">
        <v>1805</v>
      </c>
      <c r="L195" s="28" t="n">
        <v>19828</v>
      </c>
      <c r="M195" s="28" t="n">
        <v>476</v>
      </c>
    </row>
    <row r="196" customFormat="false" ht="12.8" hidden="false" customHeight="false" outlineLevel="0" collapsed="false">
      <c r="A196" s="5" t="s">
        <v>154</v>
      </c>
      <c r="B196" s="5" t="n">
        <v>10</v>
      </c>
      <c r="C196" s="5" t="n">
        <v>3600</v>
      </c>
      <c r="D196" s="5" t="n">
        <v>105</v>
      </c>
      <c r="E196" s="5" t="n">
        <v>441</v>
      </c>
      <c r="F196" s="28" t="n">
        <v>3600</v>
      </c>
      <c r="G196" s="28" t="s">
        <v>54</v>
      </c>
      <c r="H196" s="28" t="n">
        <v>96.8675</v>
      </c>
      <c r="I196" s="28" t="n">
        <v>90</v>
      </c>
      <c r="J196" s="28" t="n">
        <v>15</v>
      </c>
      <c r="K196" s="28" t="n">
        <v>929</v>
      </c>
      <c r="L196" s="28" t="n">
        <v>3916</v>
      </c>
      <c r="M196" s="28" t="n">
        <v>35378</v>
      </c>
    </row>
    <row r="197" customFormat="false" ht="12.8" hidden="false" customHeight="false" outlineLevel="0" collapsed="false">
      <c r="A197" s="5" t="s">
        <v>156</v>
      </c>
      <c r="B197" s="5" t="n">
        <v>10</v>
      </c>
      <c r="C197" s="5" t="n">
        <v>3600</v>
      </c>
      <c r="D197" s="5" t="n">
        <v>100</v>
      </c>
      <c r="E197" s="5" t="n">
        <v>1470</v>
      </c>
      <c r="F197" s="28" t="n">
        <v>11.8916</v>
      </c>
      <c r="G197" s="28" t="s">
        <v>51</v>
      </c>
      <c r="H197" s="28" t="n">
        <v>10</v>
      </c>
      <c r="I197" s="28" t="n">
        <v>10</v>
      </c>
      <c r="J197" s="28" t="n">
        <v>90</v>
      </c>
      <c r="K197" s="28" t="n">
        <v>100</v>
      </c>
      <c r="L197" s="28" t="n">
        <v>1299</v>
      </c>
      <c r="M197" s="28" t="n">
        <v>1</v>
      </c>
    </row>
    <row r="198" customFormat="false" ht="12.8" hidden="false" customHeight="false" outlineLevel="0" collapsed="false">
      <c r="A198" s="5" t="s">
        <v>157</v>
      </c>
      <c r="B198" s="5" t="n">
        <v>10</v>
      </c>
      <c r="C198" s="5" t="n">
        <v>3600</v>
      </c>
      <c r="D198" s="5" t="n">
        <v>121</v>
      </c>
      <c r="E198" s="5" t="n">
        <v>1980</v>
      </c>
      <c r="F198" s="28" t="n">
        <v>3600</v>
      </c>
      <c r="G198" s="28" t="s">
        <v>54</v>
      </c>
      <c r="H198" s="28" t="n">
        <v>98.2026</v>
      </c>
      <c r="I198" s="28" t="n">
        <v>13</v>
      </c>
      <c r="J198" s="28" t="n">
        <v>108</v>
      </c>
      <c r="K198" s="28" t="n">
        <v>727</v>
      </c>
      <c r="L198" s="28" t="n">
        <v>14864</v>
      </c>
      <c r="M198" s="28" t="n">
        <v>8311</v>
      </c>
    </row>
    <row r="199" customFormat="false" ht="12.8" hidden="false" customHeight="false" outlineLevel="0" collapsed="false">
      <c r="A199" s="5" t="s">
        <v>158</v>
      </c>
      <c r="B199" s="5" t="n">
        <v>10</v>
      </c>
      <c r="C199" s="5" t="n">
        <v>3600</v>
      </c>
      <c r="D199" s="5" t="n">
        <v>144</v>
      </c>
      <c r="E199" s="5" t="n">
        <v>2596</v>
      </c>
      <c r="F199" s="28" t="n">
        <v>3600</v>
      </c>
      <c r="G199" s="28" t="s">
        <v>54</v>
      </c>
      <c r="H199" s="28" t="n">
        <v>127.886</v>
      </c>
      <c r="I199" s="28" t="n">
        <v>15</v>
      </c>
      <c r="J199" s="28" t="n">
        <v>129</v>
      </c>
      <c r="K199" s="28" t="n">
        <v>915</v>
      </c>
      <c r="L199" s="28" t="n">
        <v>16064</v>
      </c>
      <c r="M199" s="28" t="n">
        <v>760</v>
      </c>
    </row>
    <row r="200" customFormat="false" ht="12.8" hidden="false" customHeight="false" outlineLevel="0" collapsed="false">
      <c r="A200" s="5" t="s">
        <v>159</v>
      </c>
      <c r="B200" s="5" t="n">
        <v>10</v>
      </c>
      <c r="C200" s="5" t="n">
        <v>3600</v>
      </c>
      <c r="D200" s="5" t="n">
        <v>169</v>
      </c>
      <c r="E200" s="5" t="n">
        <v>3328</v>
      </c>
      <c r="F200" s="28" t="n">
        <v>3600</v>
      </c>
      <c r="G200" s="28" t="s">
        <v>54</v>
      </c>
      <c r="H200" s="28" t="n">
        <v>163.247</v>
      </c>
      <c r="I200" s="28" t="n">
        <v>17</v>
      </c>
      <c r="J200" s="28" t="n">
        <v>152</v>
      </c>
      <c r="K200" s="28" t="n">
        <v>1474</v>
      </c>
      <c r="L200" s="28" t="n">
        <v>29069</v>
      </c>
      <c r="M200" s="28" t="n">
        <v>110</v>
      </c>
    </row>
    <row r="201" customFormat="false" ht="12.8" hidden="false" customHeight="false" outlineLevel="0" collapsed="false">
      <c r="A201" s="5" t="s">
        <v>160</v>
      </c>
      <c r="B201" s="5" t="n">
        <v>10</v>
      </c>
      <c r="C201" s="5" t="n">
        <v>3600</v>
      </c>
      <c r="D201" s="5" t="n">
        <v>196</v>
      </c>
      <c r="E201" s="5" t="n">
        <v>4186</v>
      </c>
      <c r="F201" s="28" t="n">
        <v>3600</v>
      </c>
      <c r="G201" s="28" t="s">
        <v>54</v>
      </c>
      <c r="H201" s="28" t="n">
        <v>192.314</v>
      </c>
      <c r="I201" s="28" t="n">
        <v>17</v>
      </c>
      <c r="J201" s="28" t="n">
        <v>179</v>
      </c>
      <c r="K201" s="28" t="n">
        <v>1732</v>
      </c>
      <c r="L201" s="28" t="n">
        <v>36870</v>
      </c>
      <c r="M201" s="28" t="n">
        <v>40</v>
      </c>
    </row>
    <row r="202" customFormat="false" ht="12.8" hidden="false" customHeight="false" outlineLevel="0" collapsed="false">
      <c r="A202" s="5" t="s">
        <v>167</v>
      </c>
      <c r="B202" s="5" t="n">
        <v>10</v>
      </c>
      <c r="C202" s="5" t="n">
        <v>3600</v>
      </c>
      <c r="D202" s="5" t="n">
        <v>125</v>
      </c>
      <c r="E202" s="5" t="n">
        <v>209</v>
      </c>
      <c r="F202" s="28" t="n">
        <v>20.5196</v>
      </c>
      <c r="G202" s="28" t="s">
        <v>51</v>
      </c>
      <c r="H202" s="28" t="n">
        <v>125</v>
      </c>
      <c r="I202" s="28" t="n">
        <v>125</v>
      </c>
      <c r="J202" s="28" t="n">
        <v>0</v>
      </c>
      <c r="K202" s="28" t="n">
        <v>1168</v>
      </c>
      <c r="L202" s="28" t="n">
        <v>2028</v>
      </c>
      <c r="M202" s="28" t="n">
        <v>7</v>
      </c>
    </row>
    <row r="203" customFormat="false" ht="12.8" hidden="false" customHeight="false" outlineLevel="0" collapsed="false">
      <c r="A203" s="5" t="s">
        <v>170</v>
      </c>
      <c r="B203" s="5" t="n">
        <v>10</v>
      </c>
      <c r="C203" s="5" t="n">
        <v>3600</v>
      </c>
      <c r="D203" s="5" t="n">
        <v>136</v>
      </c>
      <c r="E203" s="5" t="n">
        <v>641</v>
      </c>
      <c r="F203" s="28" t="n">
        <v>3600</v>
      </c>
      <c r="G203" s="28" t="s">
        <v>54</v>
      </c>
      <c r="H203" s="28" t="n">
        <v>132.008</v>
      </c>
      <c r="I203" s="28" t="n">
        <v>113</v>
      </c>
      <c r="J203" s="28" t="n">
        <v>23</v>
      </c>
      <c r="K203" s="28" t="n">
        <v>1281</v>
      </c>
      <c r="L203" s="28" t="n">
        <v>7369</v>
      </c>
      <c r="M203" s="28" t="n">
        <v>891</v>
      </c>
    </row>
    <row r="204" customFormat="false" ht="12.8" hidden="false" customHeight="false" outlineLevel="0" collapsed="false">
      <c r="A204" s="5" t="s">
        <v>172</v>
      </c>
      <c r="B204" s="5" t="n">
        <v>10</v>
      </c>
      <c r="C204" s="5" t="n">
        <v>3600</v>
      </c>
      <c r="D204" s="5" t="n">
        <v>67</v>
      </c>
      <c r="E204" s="5" t="n">
        <v>411</v>
      </c>
      <c r="F204" s="28" t="n">
        <v>3600</v>
      </c>
      <c r="G204" s="28" t="s">
        <v>54</v>
      </c>
      <c r="H204" s="28" t="n">
        <v>45.9903</v>
      </c>
      <c r="I204" s="28" t="n">
        <v>29</v>
      </c>
      <c r="J204" s="28" t="n">
        <v>38</v>
      </c>
      <c r="K204" s="28" t="n">
        <v>425</v>
      </c>
      <c r="L204" s="28" t="n">
        <v>8201</v>
      </c>
      <c r="M204" s="28" t="n">
        <v>122501</v>
      </c>
    </row>
    <row r="205" customFormat="false" ht="12.8" hidden="false" customHeight="false" outlineLevel="0" collapsed="false">
      <c r="A205" s="5" t="s">
        <v>173</v>
      </c>
      <c r="B205" s="5" t="n">
        <v>10</v>
      </c>
      <c r="C205" s="5" t="n">
        <v>3600</v>
      </c>
      <c r="D205" s="5" t="n">
        <v>132</v>
      </c>
      <c r="E205" s="5" t="n">
        <v>560</v>
      </c>
      <c r="F205" s="28" t="n">
        <v>3600</v>
      </c>
      <c r="G205" s="28" t="s">
        <v>54</v>
      </c>
      <c r="H205" s="28" t="n">
        <v>128.836</v>
      </c>
      <c r="I205" s="28" t="n">
        <v>119</v>
      </c>
      <c r="J205" s="28" t="n">
        <v>13</v>
      </c>
      <c r="K205" s="28" t="n">
        <v>1234</v>
      </c>
      <c r="L205" s="28" t="n">
        <v>5719</v>
      </c>
      <c r="M205" s="28" t="n">
        <v>9694</v>
      </c>
    </row>
    <row r="206" customFormat="false" ht="12.8" hidden="false" customHeight="false" outlineLevel="0" collapsed="false">
      <c r="A206" s="5" t="s">
        <v>174</v>
      </c>
      <c r="B206" s="5" t="n">
        <v>10</v>
      </c>
      <c r="C206" s="5" t="n">
        <v>3600</v>
      </c>
      <c r="D206" s="5" t="n">
        <v>57</v>
      </c>
      <c r="E206" s="5" t="n">
        <v>304</v>
      </c>
      <c r="F206" s="28" t="n">
        <v>301.167</v>
      </c>
      <c r="G206" s="28" t="s">
        <v>51</v>
      </c>
      <c r="H206" s="28" t="n">
        <v>35</v>
      </c>
      <c r="I206" s="28" t="n">
        <v>35</v>
      </c>
      <c r="J206" s="28" t="n">
        <v>22</v>
      </c>
      <c r="K206" s="28" t="n">
        <v>471</v>
      </c>
      <c r="L206" s="28" t="n">
        <v>6787</v>
      </c>
      <c r="M206" s="28" t="n">
        <v>6123</v>
      </c>
    </row>
    <row r="207" customFormat="false" ht="12.8" hidden="false" customHeight="false" outlineLevel="0" collapsed="false">
      <c r="A207" s="5" t="s">
        <v>52</v>
      </c>
      <c r="B207" s="5" t="n">
        <v>15</v>
      </c>
      <c r="C207" s="5" t="n">
        <v>3600</v>
      </c>
      <c r="D207" s="5" t="n">
        <v>93</v>
      </c>
      <c r="E207" s="5" t="n">
        <v>593</v>
      </c>
      <c r="F207" s="28" t="n">
        <v>3600</v>
      </c>
      <c r="G207" s="28" t="s">
        <v>54</v>
      </c>
      <c r="H207" s="28" t="n">
        <v>85.8199</v>
      </c>
      <c r="I207" s="28" t="n">
        <v>75</v>
      </c>
      <c r="J207" s="28" t="n">
        <v>18</v>
      </c>
      <c r="K207" s="28" t="n">
        <v>1193</v>
      </c>
      <c r="L207" s="28" t="n">
        <v>8351</v>
      </c>
      <c r="M207" s="28" t="n">
        <v>1257</v>
      </c>
    </row>
    <row r="208" customFormat="false" ht="12.8" hidden="false" customHeight="false" outlineLevel="0" collapsed="false">
      <c r="A208" s="5" t="s">
        <v>55</v>
      </c>
      <c r="B208" s="5" t="n">
        <v>15</v>
      </c>
      <c r="C208" s="5" t="n">
        <v>3600</v>
      </c>
      <c r="D208" s="5" t="n">
        <v>67</v>
      </c>
      <c r="E208" s="5" t="n">
        <v>232</v>
      </c>
      <c r="F208" s="28" t="n">
        <v>2480.02</v>
      </c>
      <c r="G208" s="28" t="s">
        <v>51</v>
      </c>
      <c r="H208" s="28" t="n">
        <v>51</v>
      </c>
      <c r="I208" s="28" t="n">
        <v>51</v>
      </c>
      <c r="J208" s="28" t="n">
        <v>16</v>
      </c>
      <c r="K208" s="28" t="n">
        <v>830</v>
      </c>
      <c r="L208" s="28" t="n">
        <v>1964</v>
      </c>
      <c r="M208" s="28" t="n">
        <v>4540</v>
      </c>
    </row>
    <row r="209" customFormat="false" ht="12.8" hidden="false" customHeight="false" outlineLevel="0" collapsed="false">
      <c r="A209" s="5" t="s">
        <v>56</v>
      </c>
      <c r="B209" s="5" t="n">
        <v>15</v>
      </c>
      <c r="C209" s="5" t="n">
        <v>3600</v>
      </c>
      <c r="D209" s="5" t="n">
        <v>52</v>
      </c>
      <c r="E209" s="5" t="n">
        <v>201</v>
      </c>
      <c r="F209" s="28" t="n">
        <v>2261.97</v>
      </c>
      <c r="G209" s="28" t="s">
        <v>51</v>
      </c>
      <c r="H209" s="28" t="n">
        <v>35</v>
      </c>
      <c r="I209" s="28" t="n">
        <v>35</v>
      </c>
      <c r="J209" s="28" t="n">
        <v>17</v>
      </c>
      <c r="K209" s="28" t="n">
        <v>593</v>
      </c>
      <c r="L209" s="28" t="n">
        <v>1668</v>
      </c>
      <c r="M209" s="28" t="n">
        <v>10437</v>
      </c>
    </row>
    <row r="210" customFormat="false" ht="12.8" hidden="false" customHeight="false" outlineLevel="0" collapsed="false">
      <c r="A210" s="5" t="s">
        <v>57</v>
      </c>
      <c r="B210" s="5" t="n">
        <v>15</v>
      </c>
      <c r="C210" s="5" t="n">
        <v>3600</v>
      </c>
      <c r="D210" s="5" t="n">
        <v>37</v>
      </c>
      <c r="E210" s="5" t="n">
        <v>72</v>
      </c>
      <c r="F210" s="28" t="n">
        <v>517.664</v>
      </c>
      <c r="G210" s="28" t="s">
        <v>51</v>
      </c>
      <c r="H210" s="28" t="n">
        <v>21</v>
      </c>
      <c r="I210" s="28" t="n">
        <v>21</v>
      </c>
      <c r="J210" s="28" t="n">
        <v>16</v>
      </c>
      <c r="K210" s="28" t="n">
        <v>388</v>
      </c>
      <c r="L210" s="28" t="n">
        <v>2466</v>
      </c>
      <c r="M210" s="28" t="n">
        <v>11761</v>
      </c>
    </row>
    <row r="211" customFormat="false" ht="12.8" hidden="false" customHeight="false" outlineLevel="0" collapsed="false">
      <c r="A211" s="5" t="s">
        <v>58</v>
      </c>
      <c r="B211" s="5" t="n">
        <v>15</v>
      </c>
      <c r="C211" s="5" t="n">
        <v>3600</v>
      </c>
      <c r="D211" s="5" t="n">
        <v>149</v>
      </c>
      <c r="E211" s="5" t="n">
        <v>541</v>
      </c>
      <c r="F211" s="28" t="n">
        <v>3600</v>
      </c>
      <c r="G211" s="28" t="s">
        <v>54</v>
      </c>
      <c r="H211" s="28" t="n">
        <v>146.126</v>
      </c>
      <c r="I211" s="28" t="n">
        <v>123</v>
      </c>
      <c r="J211" s="28" t="n">
        <v>26</v>
      </c>
      <c r="K211" s="28" t="n">
        <v>2103</v>
      </c>
      <c r="L211" s="28" t="n">
        <v>7686</v>
      </c>
      <c r="M211" s="28" t="n">
        <v>51</v>
      </c>
    </row>
    <row r="212" customFormat="false" ht="12.8" hidden="false" customHeight="false" outlineLevel="0" collapsed="false">
      <c r="A212" s="5" t="s">
        <v>59</v>
      </c>
      <c r="B212" s="5" t="n">
        <v>15</v>
      </c>
      <c r="C212" s="5" t="n">
        <v>3600</v>
      </c>
      <c r="D212" s="5" t="n">
        <v>80</v>
      </c>
      <c r="E212" s="5" t="n">
        <v>346</v>
      </c>
      <c r="F212" s="28" t="n">
        <v>3600</v>
      </c>
      <c r="G212" s="28" t="s">
        <v>54</v>
      </c>
      <c r="H212" s="28" t="n">
        <v>71.0006</v>
      </c>
      <c r="I212" s="28" t="n">
        <v>63</v>
      </c>
      <c r="J212" s="28" t="n">
        <v>17</v>
      </c>
      <c r="K212" s="28" t="n">
        <v>995</v>
      </c>
      <c r="L212" s="28" t="n">
        <v>5121</v>
      </c>
      <c r="M212" s="28" t="n">
        <v>36</v>
      </c>
    </row>
    <row r="213" customFormat="false" ht="12.8" hidden="false" customHeight="false" outlineLevel="0" collapsed="false">
      <c r="A213" s="5" t="s">
        <v>60</v>
      </c>
      <c r="B213" s="5" t="n">
        <v>15</v>
      </c>
      <c r="C213" s="5" t="n">
        <v>3600</v>
      </c>
      <c r="D213" s="5" t="n">
        <v>56</v>
      </c>
      <c r="E213" s="5" t="n">
        <v>110</v>
      </c>
      <c r="F213" s="28" t="n">
        <v>3600</v>
      </c>
      <c r="G213" s="28" t="s">
        <v>54</v>
      </c>
      <c r="H213" s="28" t="n">
        <v>47.4171</v>
      </c>
      <c r="I213" s="28" t="n">
        <v>40</v>
      </c>
      <c r="J213" s="28" t="n">
        <v>16</v>
      </c>
      <c r="K213" s="28" t="n">
        <v>661</v>
      </c>
      <c r="L213" s="28" t="n">
        <v>2957</v>
      </c>
      <c r="M213" s="28" t="n">
        <v>51169</v>
      </c>
    </row>
    <row r="214" customFormat="false" ht="12.8" hidden="false" customHeight="false" outlineLevel="0" collapsed="false">
      <c r="A214" s="5" t="s">
        <v>61</v>
      </c>
      <c r="B214" s="5" t="n">
        <v>15</v>
      </c>
      <c r="C214" s="5" t="n">
        <v>3600</v>
      </c>
      <c r="D214" s="5" t="n">
        <v>114</v>
      </c>
      <c r="E214" s="5" t="n">
        <v>541</v>
      </c>
      <c r="F214" s="28" t="n">
        <v>3600</v>
      </c>
      <c r="G214" s="28" t="s">
        <v>54</v>
      </c>
      <c r="H214" s="28" t="n">
        <v>109.018</v>
      </c>
      <c r="I214" s="28" t="n">
        <v>96</v>
      </c>
      <c r="J214" s="28" t="n">
        <v>18</v>
      </c>
      <c r="K214" s="28" t="n">
        <v>1517</v>
      </c>
      <c r="L214" s="28" t="n">
        <v>7610</v>
      </c>
      <c r="M214" s="28" t="n">
        <v>354</v>
      </c>
    </row>
    <row r="215" customFormat="false" ht="12.8" hidden="false" customHeight="false" outlineLevel="0" collapsed="false">
      <c r="A215" s="5" t="s">
        <v>62</v>
      </c>
      <c r="B215" s="5" t="n">
        <v>15</v>
      </c>
      <c r="C215" s="5" t="n">
        <v>3600</v>
      </c>
      <c r="D215" s="5" t="n">
        <v>79</v>
      </c>
      <c r="E215" s="5" t="n">
        <v>156</v>
      </c>
      <c r="F215" s="28" t="n">
        <v>3600</v>
      </c>
      <c r="G215" s="28" t="s">
        <v>54</v>
      </c>
      <c r="H215" s="28" t="n">
        <v>72.9856</v>
      </c>
      <c r="I215" s="28" t="n">
        <v>63</v>
      </c>
      <c r="J215" s="28" t="n">
        <v>16</v>
      </c>
      <c r="K215" s="28" t="n">
        <v>1010</v>
      </c>
      <c r="L215" s="28" t="n">
        <v>3431</v>
      </c>
      <c r="M215" s="28" t="n">
        <v>14748</v>
      </c>
    </row>
    <row r="216" customFormat="false" ht="12.8" hidden="false" customHeight="false" outlineLevel="0" collapsed="false">
      <c r="A216" s="5" t="s">
        <v>63</v>
      </c>
      <c r="B216" s="5" t="n">
        <v>15</v>
      </c>
      <c r="C216" s="5" t="n">
        <v>3600</v>
      </c>
      <c r="D216" s="5" t="n">
        <v>154</v>
      </c>
      <c r="E216" s="5" t="n">
        <v>792</v>
      </c>
      <c r="F216" s="28" t="n">
        <v>3600</v>
      </c>
      <c r="G216" s="28" t="s">
        <v>54</v>
      </c>
      <c r="H216" s="28" t="n">
        <v>150.516</v>
      </c>
      <c r="I216" s="28" t="n">
        <v>135</v>
      </c>
      <c r="J216" s="28" t="n">
        <v>19</v>
      </c>
      <c r="K216" s="28" t="n">
        <v>2141</v>
      </c>
      <c r="L216" s="28" t="n">
        <v>11510</v>
      </c>
      <c r="M216" s="28" t="n">
        <v>49</v>
      </c>
    </row>
    <row r="217" customFormat="false" ht="12.8" hidden="false" customHeight="false" outlineLevel="0" collapsed="false">
      <c r="A217" s="5" t="s">
        <v>65</v>
      </c>
      <c r="B217" s="5" t="n">
        <v>15</v>
      </c>
      <c r="C217" s="5" t="n">
        <v>3600</v>
      </c>
      <c r="D217" s="5" t="n">
        <v>112</v>
      </c>
      <c r="E217" s="5" t="n">
        <v>425</v>
      </c>
      <c r="F217" s="28" t="n">
        <v>3600.12</v>
      </c>
      <c r="G217" s="28" t="s">
        <v>54</v>
      </c>
      <c r="H217" s="28" t="n">
        <v>105.613</v>
      </c>
      <c r="I217" s="28" t="n">
        <v>101</v>
      </c>
      <c r="J217" s="28" t="n">
        <v>11</v>
      </c>
      <c r="K217" s="28" t="n">
        <v>1486</v>
      </c>
      <c r="L217" s="28" t="n">
        <v>5273</v>
      </c>
      <c r="M217" s="28" t="n">
        <v>1</v>
      </c>
    </row>
    <row r="218" customFormat="false" ht="12.8" hidden="false" customHeight="false" outlineLevel="0" collapsed="false">
      <c r="A218" s="5" t="s">
        <v>66</v>
      </c>
      <c r="B218" s="5" t="n">
        <v>15</v>
      </c>
      <c r="C218" s="5" t="n">
        <v>3600</v>
      </c>
      <c r="D218" s="5" t="n">
        <v>138</v>
      </c>
      <c r="E218" s="5" t="n">
        <v>493</v>
      </c>
      <c r="F218" s="28" t="n">
        <v>223.485</v>
      </c>
      <c r="G218" s="28" t="s">
        <v>51</v>
      </c>
      <c r="H218" s="28" t="n">
        <v>136</v>
      </c>
      <c r="I218" s="28" t="n">
        <v>136</v>
      </c>
      <c r="J218" s="28" t="n">
        <v>2</v>
      </c>
      <c r="K218" s="28" t="n">
        <v>1965</v>
      </c>
      <c r="L218" s="28" t="n">
        <v>2296</v>
      </c>
      <c r="M218" s="28" t="n">
        <v>30</v>
      </c>
    </row>
    <row r="219" customFormat="false" ht="12.8" hidden="false" customHeight="false" outlineLevel="0" collapsed="false">
      <c r="A219" s="5" t="s">
        <v>69</v>
      </c>
      <c r="B219" s="5" t="n">
        <v>15</v>
      </c>
      <c r="C219" s="5" t="n">
        <v>3600</v>
      </c>
      <c r="D219" s="5" t="n">
        <v>85</v>
      </c>
      <c r="E219" s="5" t="n">
        <v>219</v>
      </c>
      <c r="F219" s="28" t="n">
        <v>3600</v>
      </c>
      <c r="G219" s="28" t="s">
        <v>54</v>
      </c>
      <c r="H219" s="28" t="n">
        <v>81.1811</v>
      </c>
      <c r="I219" s="28" t="n">
        <v>57</v>
      </c>
      <c r="J219" s="28" t="n">
        <v>28</v>
      </c>
      <c r="K219" s="28" t="n">
        <v>1133</v>
      </c>
      <c r="L219" s="28" t="n">
        <v>4103</v>
      </c>
      <c r="M219" s="28" t="n">
        <v>3173</v>
      </c>
    </row>
    <row r="220" customFormat="false" ht="12.8" hidden="false" customHeight="false" outlineLevel="0" collapsed="false">
      <c r="A220" s="5" t="s">
        <v>70</v>
      </c>
      <c r="B220" s="5" t="n">
        <v>15</v>
      </c>
      <c r="C220" s="5" t="n">
        <v>3600</v>
      </c>
      <c r="D220" s="5" t="n">
        <v>104</v>
      </c>
      <c r="E220" s="5" t="n">
        <v>331</v>
      </c>
      <c r="F220" s="28" t="n">
        <v>3600</v>
      </c>
      <c r="G220" s="28" t="s">
        <v>54</v>
      </c>
      <c r="H220" s="28" t="n">
        <v>101.23</v>
      </c>
      <c r="I220" s="28" t="n">
        <v>62</v>
      </c>
      <c r="J220" s="28" t="n">
        <v>42</v>
      </c>
      <c r="K220" s="28" t="n">
        <v>1455</v>
      </c>
      <c r="L220" s="28" t="n">
        <v>6896</v>
      </c>
      <c r="M220" s="28" t="n">
        <v>1871</v>
      </c>
    </row>
    <row r="221" customFormat="false" ht="12.8" hidden="false" customHeight="false" outlineLevel="0" collapsed="false">
      <c r="A221" s="5" t="s">
        <v>73</v>
      </c>
      <c r="B221" s="5" t="n">
        <v>15</v>
      </c>
      <c r="C221" s="5" t="n">
        <v>3600</v>
      </c>
      <c r="D221" s="5" t="n">
        <v>49</v>
      </c>
      <c r="E221" s="5" t="n">
        <v>177</v>
      </c>
      <c r="F221" s="28" t="n">
        <v>507.594</v>
      </c>
      <c r="G221" s="28" t="s">
        <v>51</v>
      </c>
      <c r="H221" s="28" t="n">
        <v>25</v>
      </c>
      <c r="I221" s="28" t="n">
        <v>25</v>
      </c>
      <c r="J221" s="28" t="n">
        <v>24</v>
      </c>
      <c r="K221" s="28" t="n">
        <v>455</v>
      </c>
      <c r="L221" s="28" t="n">
        <v>3657</v>
      </c>
      <c r="M221" s="28" t="n">
        <v>2293</v>
      </c>
    </row>
    <row r="222" customFormat="false" ht="12.8" hidden="false" customHeight="false" outlineLevel="0" collapsed="false">
      <c r="A222" s="5" t="s">
        <v>74</v>
      </c>
      <c r="B222" s="5" t="n">
        <v>15</v>
      </c>
      <c r="C222" s="5" t="n">
        <v>3600</v>
      </c>
      <c r="D222" s="5" t="n">
        <v>118</v>
      </c>
      <c r="E222" s="5" t="n">
        <v>576</v>
      </c>
      <c r="F222" s="28" t="n">
        <v>3600</v>
      </c>
      <c r="G222" s="28" t="s">
        <v>54</v>
      </c>
      <c r="H222" s="28" t="n">
        <v>114.905</v>
      </c>
      <c r="I222" s="28" t="n">
        <v>76</v>
      </c>
      <c r="J222" s="28" t="n">
        <v>42</v>
      </c>
      <c r="K222" s="28" t="n">
        <v>1665</v>
      </c>
      <c r="L222" s="28" t="n">
        <v>9651</v>
      </c>
      <c r="M222" s="28" t="n">
        <v>941</v>
      </c>
    </row>
    <row r="223" customFormat="false" ht="12.8" hidden="false" customHeight="false" outlineLevel="0" collapsed="false">
      <c r="A223" s="5" t="s">
        <v>79</v>
      </c>
      <c r="B223" s="5" t="n">
        <v>15</v>
      </c>
      <c r="C223" s="5" t="n">
        <v>3600</v>
      </c>
      <c r="D223" s="5" t="n">
        <v>62</v>
      </c>
      <c r="E223" s="5" t="n">
        <v>210</v>
      </c>
      <c r="F223" s="28" t="n">
        <v>3600</v>
      </c>
      <c r="G223" s="28" t="s">
        <v>54</v>
      </c>
      <c r="H223" s="28" t="n">
        <v>52.1977</v>
      </c>
      <c r="I223" s="28" t="n">
        <v>33</v>
      </c>
      <c r="J223" s="28" t="n">
        <v>29</v>
      </c>
      <c r="K223" s="28" t="n">
        <v>653</v>
      </c>
      <c r="L223" s="28" t="n">
        <v>5062</v>
      </c>
      <c r="M223" s="28" t="n">
        <v>62014</v>
      </c>
    </row>
    <row r="224" customFormat="false" ht="12.8" hidden="false" customHeight="false" outlineLevel="0" collapsed="false">
      <c r="A224" s="5" t="s">
        <v>82</v>
      </c>
      <c r="B224" s="5" t="n">
        <v>15</v>
      </c>
      <c r="C224" s="5" t="n">
        <v>3600</v>
      </c>
      <c r="D224" s="5" t="n">
        <v>297</v>
      </c>
      <c r="E224" s="5" t="n">
        <v>2148</v>
      </c>
      <c r="F224" s="28" t="n">
        <v>3600.01</v>
      </c>
      <c r="G224" s="28" t="s">
        <v>54</v>
      </c>
      <c r="H224" s="28" t="n">
        <v>296.501</v>
      </c>
      <c r="I224" s="28" t="n">
        <v>294</v>
      </c>
      <c r="J224" s="28" t="n">
        <v>3</v>
      </c>
      <c r="K224" s="28" t="n">
        <v>4350</v>
      </c>
      <c r="L224" s="28" t="n">
        <v>29798</v>
      </c>
      <c r="M224" s="28" t="n">
        <v>1</v>
      </c>
    </row>
    <row r="225" customFormat="false" ht="12.8" hidden="false" customHeight="false" outlineLevel="0" collapsed="false">
      <c r="A225" s="5" t="s">
        <v>83</v>
      </c>
      <c r="B225" s="5" t="n">
        <v>15</v>
      </c>
      <c r="C225" s="5" t="n">
        <v>3600</v>
      </c>
      <c r="D225" s="5" t="n">
        <v>39</v>
      </c>
      <c r="E225" s="5" t="n">
        <v>170</v>
      </c>
      <c r="F225" s="28" t="n">
        <v>175.11</v>
      </c>
      <c r="G225" s="28" t="s">
        <v>51</v>
      </c>
      <c r="H225" s="28" t="n">
        <v>22</v>
      </c>
      <c r="I225" s="28" t="n">
        <v>22</v>
      </c>
      <c r="J225" s="28" t="n">
        <v>17</v>
      </c>
      <c r="K225" s="28" t="n">
        <v>372</v>
      </c>
      <c r="L225" s="28" t="n">
        <v>1783</v>
      </c>
      <c r="M225" s="28" t="n">
        <v>3261</v>
      </c>
    </row>
    <row r="226" customFormat="false" ht="12.8" hidden="false" customHeight="false" outlineLevel="0" collapsed="false">
      <c r="A226" s="5" t="s">
        <v>85</v>
      </c>
      <c r="B226" s="5" t="n">
        <v>15</v>
      </c>
      <c r="C226" s="5" t="n">
        <v>3600</v>
      </c>
      <c r="D226" s="5" t="n">
        <v>87</v>
      </c>
      <c r="E226" s="5" t="n">
        <v>406</v>
      </c>
      <c r="F226" s="28" t="n">
        <v>279.267</v>
      </c>
      <c r="G226" s="28" t="s">
        <v>51</v>
      </c>
      <c r="H226" s="28" t="n">
        <v>83</v>
      </c>
      <c r="I226" s="28" t="n">
        <v>83</v>
      </c>
      <c r="J226" s="28" t="n">
        <v>4</v>
      </c>
      <c r="K226" s="28" t="n">
        <v>1200</v>
      </c>
      <c r="L226" s="28" t="n">
        <v>5403</v>
      </c>
      <c r="M226" s="28" t="n">
        <v>261</v>
      </c>
    </row>
    <row r="227" customFormat="false" ht="12.8" hidden="false" customHeight="false" outlineLevel="0" collapsed="false">
      <c r="A227" s="5" t="s">
        <v>87</v>
      </c>
      <c r="B227" s="5" t="n">
        <v>15</v>
      </c>
      <c r="C227" s="5" t="n">
        <v>3600</v>
      </c>
      <c r="D227" s="5" t="n">
        <v>62</v>
      </c>
      <c r="E227" s="5" t="n">
        <v>159</v>
      </c>
      <c r="F227" s="28" t="n">
        <v>3600</v>
      </c>
      <c r="G227" s="28" t="s">
        <v>54</v>
      </c>
      <c r="H227" s="28" t="n">
        <v>53.9397</v>
      </c>
      <c r="I227" s="28" t="n">
        <v>49</v>
      </c>
      <c r="J227" s="28" t="n">
        <v>13</v>
      </c>
      <c r="K227" s="28" t="n">
        <v>793</v>
      </c>
      <c r="L227" s="28" t="n">
        <v>2926</v>
      </c>
      <c r="M227" s="28" t="n">
        <v>39832</v>
      </c>
    </row>
    <row r="228" customFormat="false" ht="12.8" hidden="false" customHeight="false" outlineLevel="0" collapsed="false">
      <c r="A228" s="5" t="s">
        <v>88</v>
      </c>
      <c r="B228" s="5" t="n">
        <v>15</v>
      </c>
      <c r="C228" s="5" t="n">
        <v>3600</v>
      </c>
      <c r="D228" s="5" t="n">
        <v>125</v>
      </c>
      <c r="E228" s="5" t="n">
        <v>736</v>
      </c>
      <c r="F228" s="28" t="n">
        <v>3600.03</v>
      </c>
      <c r="G228" s="28" t="s">
        <v>54</v>
      </c>
      <c r="H228" s="28" t="n">
        <v>121.514</v>
      </c>
      <c r="I228" s="28" t="n">
        <v>52</v>
      </c>
      <c r="J228" s="28" t="n">
        <v>73</v>
      </c>
      <c r="K228" s="28" t="n">
        <v>1720</v>
      </c>
      <c r="L228" s="28" t="n">
        <v>10523</v>
      </c>
      <c r="M228" s="28" t="n">
        <v>86</v>
      </c>
    </row>
    <row r="229" customFormat="false" ht="12.8" hidden="false" customHeight="false" outlineLevel="0" collapsed="false">
      <c r="A229" s="5" t="s">
        <v>90</v>
      </c>
      <c r="B229" s="5" t="n">
        <v>15</v>
      </c>
      <c r="C229" s="5" t="n">
        <v>3600</v>
      </c>
      <c r="D229" s="5" t="n">
        <v>59</v>
      </c>
      <c r="E229" s="5" t="n">
        <v>256</v>
      </c>
      <c r="F229" s="28" t="n">
        <v>786.914</v>
      </c>
      <c r="G229" s="28" t="s">
        <v>51</v>
      </c>
      <c r="H229" s="28" t="n">
        <v>18</v>
      </c>
      <c r="I229" s="28" t="n">
        <v>18</v>
      </c>
      <c r="J229" s="28" t="n">
        <v>41</v>
      </c>
      <c r="K229" s="28" t="n">
        <v>513</v>
      </c>
      <c r="L229" s="28" t="n">
        <v>8909</v>
      </c>
      <c r="M229" s="28" t="n">
        <v>9013</v>
      </c>
    </row>
    <row r="230" customFormat="false" ht="12.8" hidden="false" customHeight="false" outlineLevel="0" collapsed="false">
      <c r="A230" s="5" t="s">
        <v>92</v>
      </c>
      <c r="B230" s="5" t="n">
        <v>15</v>
      </c>
      <c r="C230" s="5" t="n">
        <v>3600</v>
      </c>
      <c r="D230" s="5" t="n">
        <v>72</v>
      </c>
      <c r="E230" s="5" t="n">
        <v>170</v>
      </c>
      <c r="F230" s="28" t="n">
        <v>3600</v>
      </c>
      <c r="G230" s="28" t="s">
        <v>54</v>
      </c>
      <c r="H230" s="28" t="n">
        <v>67.808</v>
      </c>
      <c r="I230" s="28" t="n">
        <v>45</v>
      </c>
      <c r="J230" s="28" t="n">
        <v>27</v>
      </c>
      <c r="K230" s="28" t="n">
        <v>797</v>
      </c>
      <c r="L230" s="28" t="n">
        <v>3667</v>
      </c>
      <c r="M230" s="28" t="n">
        <v>34508</v>
      </c>
    </row>
    <row r="231" customFormat="false" ht="12.8" hidden="false" customHeight="false" outlineLevel="0" collapsed="false">
      <c r="A231" s="5" t="s">
        <v>93</v>
      </c>
      <c r="B231" s="5" t="n">
        <v>15</v>
      </c>
      <c r="C231" s="5" t="n">
        <v>3600</v>
      </c>
      <c r="D231" s="5" t="n">
        <v>87</v>
      </c>
      <c r="E231" s="5" t="n">
        <v>726</v>
      </c>
      <c r="F231" s="28" t="n">
        <v>3600</v>
      </c>
      <c r="G231" s="28" t="s">
        <v>54</v>
      </c>
      <c r="H231" s="28" t="n">
        <v>76.3076</v>
      </c>
      <c r="I231" s="28" t="s">
        <v>175</v>
      </c>
      <c r="J231" s="28" t="s">
        <v>175</v>
      </c>
      <c r="K231" s="28" t="n">
        <v>985</v>
      </c>
      <c r="L231" s="28" t="n">
        <v>8995</v>
      </c>
      <c r="M231" s="28" t="n">
        <v>385</v>
      </c>
    </row>
    <row r="232" customFormat="false" ht="12.8" hidden="false" customHeight="false" outlineLevel="0" collapsed="false">
      <c r="A232" s="5" t="s">
        <v>94</v>
      </c>
      <c r="B232" s="5" t="n">
        <v>15</v>
      </c>
      <c r="C232" s="5" t="n">
        <v>3600</v>
      </c>
      <c r="D232" s="5" t="n">
        <v>115</v>
      </c>
      <c r="E232" s="5" t="n">
        <v>613</v>
      </c>
      <c r="F232" s="28" t="n">
        <v>3600</v>
      </c>
      <c r="G232" s="28" t="s">
        <v>54</v>
      </c>
      <c r="H232" s="28" t="n">
        <v>110.484</v>
      </c>
      <c r="I232" s="28" t="n">
        <v>41</v>
      </c>
      <c r="J232" s="28" t="n">
        <v>74</v>
      </c>
      <c r="K232" s="28" t="n">
        <v>1535</v>
      </c>
      <c r="L232" s="28" t="n">
        <v>10802</v>
      </c>
      <c r="M232" s="28" t="n">
        <v>506</v>
      </c>
    </row>
    <row r="233" customFormat="false" ht="12.8" hidden="false" customHeight="false" outlineLevel="0" collapsed="false">
      <c r="A233" s="5" t="s">
        <v>95</v>
      </c>
      <c r="B233" s="5" t="n">
        <v>15</v>
      </c>
      <c r="C233" s="5" t="n">
        <v>3600</v>
      </c>
      <c r="D233" s="5" t="n">
        <v>120</v>
      </c>
      <c r="E233" s="5" t="n">
        <v>638</v>
      </c>
      <c r="F233" s="28" t="n">
        <v>3600</v>
      </c>
      <c r="G233" s="28" t="s">
        <v>54</v>
      </c>
      <c r="H233" s="28" t="n">
        <v>116.104</v>
      </c>
      <c r="I233" s="28" t="n">
        <v>44</v>
      </c>
      <c r="J233" s="28" t="n">
        <v>76</v>
      </c>
      <c r="K233" s="28" t="n">
        <v>1651</v>
      </c>
      <c r="L233" s="28" t="n">
        <v>9890</v>
      </c>
      <c r="M233" s="28" t="n">
        <v>372</v>
      </c>
    </row>
    <row r="234" customFormat="false" ht="12.8" hidden="false" customHeight="false" outlineLevel="0" collapsed="false">
      <c r="A234" s="5" t="s">
        <v>96</v>
      </c>
      <c r="B234" s="5" t="n">
        <v>15</v>
      </c>
      <c r="C234" s="5" t="n">
        <v>3600</v>
      </c>
      <c r="D234" s="5" t="n">
        <v>115</v>
      </c>
      <c r="E234" s="5" t="n">
        <v>576</v>
      </c>
      <c r="F234" s="28" t="n">
        <v>3600</v>
      </c>
      <c r="G234" s="28" t="s">
        <v>54</v>
      </c>
      <c r="H234" s="28" t="n">
        <v>107.592</v>
      </c>
      <c r="I234" s="28" t="n">
        <v>67</v>
      </c>
      <c r="J234" s="28" t="n">
        <v>48</v>
      </c>
      <c r="K234" s="28" t="n">
        <v>1484</v>
      </c>
      <c r="L234" s="28" t="n">
        <v>8654</v>
      </c>
      <c r="M234" s="28" t="n">
        <v>993</v>
      </c>
    </row>
    <row r="235" customFormat="false" ht="12.8" hidden="false" customHeight="false" outlineLevel="0" collapsed="false">
      <c r="A235" s="5" t="s">
        <v>97</v>
      </c>
      <c r="B235" s="5" t="n">
        <v>15</v>
      </c>
      <c r="C235" s="5" t="n">
        <v>3600</v>
      </c>
      <c r="D235" s="5" t="n">
        <v>74</v>
      </c>
      <c r="E235" s="5" t="n">
        <v>301</v>
      </c>
      <c r="F235" s="28" t="n">
        <v>976.365</v>
      </c>
      <c r="G235" s="28" t="s">
        <v>51</v>
      </c>
      <c r="H235" s="28" t="n">
        <v>68</v>
      </c>
      <c r="I235" s="28" t="n">
        <v>68</v>
      </c>
      <c r="J235" s="28" t="n">
        <v>6</v>
      </c>
      <c r="K235" s="28" t="n">
        <v>1005</v>
      </c>
      <c r="L235" s="28" t="n">
        <v>3118</v>
      </c>
      <c r="M235" s="28" t="n">
        <v>8256</v>
      </c>
    </row>
    <row r="236" customFormat="false" ht="12.8" hidden="false" customHeight="false" outlineLevel="0" collapsed="false">
      <c r="A236" s="5" t="s">
        <v>99</v>
      </c>
      <c r="B236" s="5" t="n">
        <v>15</v>
      </c>
      <c r="C236" s="5" t="n">
        <v>3600</v>
      </c>
      <c r="D236" s="5" t="n">
        <v>59</v>
      </c>
      <c r="E236" s="5" t="n">
        <v>329</v>
      </c>
      <c r="F236" s="28" t="n">
        <v>2306.71</v>
      </c>
      <c r="G236" s="28" t="s">
        <v>51</v>
      </c>
      <c r="H236" s="28" t="n">
        <v>36</v>
      </c>
      <c r="I236" s="28" t="n">
        <v>36</v>
      </c>
      <c r="J236" s="28" t="n">
        <v>23</v>
      </c>
      <c r="K236" s="28" t="n">
        <v>603</v>
      </c>
      <c r="L236" s="28" t="n">
        <v>3454</v>
      </c>
      <c r="M236" s="28" t="n">
        <v>30423</v>
      </c>
    </row>
    <row r="237" customFormat="false" ht="12.8" hidden="false" customHeight="false" outlineLevel="0" collapsed="false">
      <c r="A237" s="5" t="s">
        <v>100</v>
      </c>
      <c r="B237" s="5" t="n">
        <v>15</v>
      </c>
      <c r="C237" s="5" t="n">
        <v>3600</v>
      </c>
      <c r="D237" s="5" t="n">
        <v>198</v>
      </c>
      <c r="E237" s="5" t="n">
        <v>2742</v>
      </c>
      <c r="F237" s="28" t="n">
        <v>3600.01</v>
      </c>
      <c r="G237" s="28" t="s">
        <v>54</v>
      </c>
      <c r="H237" s="28" t="n">
        <v>196.306</v>
      </c>
      <c r="I237" s="28" t="n">
        <v>163</v>
      </c>
      <c r="J237" s="28" t="n">
        <v>35</v>
      </c>
      <c r="K237" s="28" t="n">
        <v>2818</v>
      </c>
      <c r="L237" s="28" t="n">
        <v>39032</v>
      </c>
      <c r="M237" s="28" t="n">
        <v>11</v>
      </c>
    </row>
    <row r="238" customFormat="false" ht="12.8" hidden="false" customHeight="false" outlineLevel="0" collapsed="false">
      <c r="A238" s="5" t="s">
        <v>101</v>
      </c>
      <c r="B238" s="5" t="n">
        <v>15</v>
      </c>
      <c r="C238" s="5" t="n">
        <v>3600</v>
      </c>
      <c r="D238" s="5" t="n">
        <v>80</v>
      </c>
      <c r="E238" s="5" t="n">
        <v>254</v>
      </c>
      <c r="F238" s="28" t="n">
        <v>107.449</v>
      </c>
      <c r="G238" s="28" t="s">
        <v>51</v>
      </c>
      <c r="H238" s="28" t="n">
        <v>78</v>
      </c>
      <c r="I238" s="28" t="n">
        <v>78</v>
      </c>
      <c r="J238" s="28" t="n">
        <v>2</v>
      </c>
      <c r="K238" s="28" t="n">
        <v>1056</v>
      </c>
      <c r="L238" s="28" t="n">
        <v>3188</v>
      </c>
      <c r="M238" s="28" t="n">
        <v>20</v>
      </c>
    </row>
    <row r="239" customFormat="false" ht="12.8" hidden="false" customHeight="false" outlineLevel="0" collapsed="false">
      <c r="A239" s="5" t="s">
        <v>102</v>
      </c>
      <c r="B239" s="5" t="n">
        <v>15</v>
      </c>
      <c r="C239" s="5" t="n">
        <v>3600</v>
      </c>
      <c r="D239" s="5" t="n">
        <v>34</v>
      </c>
      <c r="E239" s="5" t="n">
        <v>78</v>
      </c>
      <c r="F239" s="28" t="n">
        <v>57.4607</v>
      </c>
      <c r="G239" s="28" t="s">
        <v>51</v>
      </c>
      <c r="H239" s="28" t="n">
        <v>28</v>
      </c>
      <c r="I239" s="28" t="n">
        <v>28</v>
      </c>
      <c r="J239" s="28" t="n">
        <v>6</v>
      </c>
      <c r="K239" s="28" t="n">
        <v>337</v>
      </c>
      <c r="L239" s="28" t="n">
        <v>861</v>
      </c>
      <c r="M239" s="28" t="n">
        <v>14</v>
      </c>
    </row>
    <row r="240" customFormat="false" ht="12.8" hidden="false" customHeight="false" outlineLevel="0" collapsed="false">
      <c r="A240" s="5" t="s">
        <v>103</v>
      </c>
      <c r="B240" s="5" t="n">
        <v>15</v>
      </c>
      <c r="C240" s="5" t="n">
        <v>3600</v>
      </c>
      <c r="D240" s="5" t="n">
        <v>100</v>
      </c>
      <c r="E240" s="5" t="n">
        <v>1844</v>
      </c>
      <c r="F240" s="28" t="n">
        <v>3600.01</v>
      </c>
      <c r="G240" s="28" t="s">
        <v>54</v>
      </c>
      <c r="H240" s="28" t="n">
        <v>88.2229</v>
      </c>
      <c r="I240" s="28" t="n">
        <v>79</v>
      </c>
      <c r="J240" s="28" t="n">
        <v>21</v>
      </c>
      <c r="K240" s="28" t="n">
        <v>1500</v>
      </c>
      <c r="L240" s="28" t="n">
        <v>28025</v>
      </c>
      <c r="M240" s="28" t="n">
        <v>1817</v>
      </c>
    </row>
    <row r="241" customFormat="false" ht="12.8" hidden="false" customHeight="false" outlineLevel="0" collapsed="false">
      <c r="A241" s="5" t="s">
        <v>108</v>
      </c>
      <c r="B241" s="5" t="n">
        <v>15</v>
      </c>
      <c r="C241" s="5" t="n">
        <v>3600</v>
      </c>
      <c r="D241" s="5" t="n">
        <v>100</v>
      </c>
      <c r="E241" s="5" t="n">
        <v>2956</v>
      </c>
      <c r="F241" s="28" t="n">
        <v>3600</v>
      </c>
      <c r="G241" s="28" t="s">
        <v>54</v>
      </c>
      <c r="H241" s="28" t="n">
        <v>88.1637</v>
      </c>
      <c r="I241" s="28" t="n">
        <v>49</v>
      </c>
      <c r="J241" s="28" t="n">
        <v>51</v>
      </c>
      <c r="K241" s="28" t="n">
        <v>1097</v>
      </c>
      <c r="L241" s="28" t="n">
        <v>29140</v>
      </c>
      <c r="M241" s="28" t="n">
        <v>1</v>
      </c>
    </row>
    <row r="242" customFormat="false" ht="12.8" hidden="false" customHeight="false" outlineLevel="0" collapsed="false">
      <c r="A242" s="5" t="s">
        <v>110</v>
      </c>
      <c r="B242" s="5" t="n">
        <v>15</v>
      </c>
      <c r="C242" s="5" t="n">
        <v>3600</v>
      </c>
      <c r="D242" s="5" t="n">
        <v>100</v>
      </c>
      <c r="E242" s="5" t="n">
        <v>2934</v>
      </c>
      <c r="F242" s="28" t="n">
        <v>104.552</v>
      </c>
      <c r="G242" s="28" t="s">
        <v>51</v>
      </c>
      <c r="H242" s="28" t="n">
        <v>47</v>
      </c>
      <c r="I242" s="28" t="n">
        <v>47</v>
      </c>
      <c r="J242" s="28" t="n">
        <v>53</v>
      </c>
      <c r="K242" s="28" t="n">
        <v>654</v>
      </c>
      <c r="L242" s="28" t="n">
        <v>12506</v>
      </c>
      <c r="M242" s="28" t="n">
        <v>1</v>
      </c>
    </row>
    <row r="243" customFormat="false" ht="12.8" hidden="false" customHeight="false" outlineLevel="0" collapsed="false">
      <c r="A243" s="5" t="s">
        <v>111</v>
      </c>
      <c r="B243" s="5" t="n">
        <v>15</v>
      </c>
      <c r="C243" s="5" t="n">
        <v>3600</v>
      </c>
      <c r="D243" s="5" t="n">
        <v>120</v>
      </c>
      <c r="E243" s="5" t="n">
        <v>2972</v>
      </c>
      <c r="F243" s="28" t="n">
        <v>3600</v>
      </c>
      <c r="G243" s="28" t="s">
        <v>54</v>
      </c>
      <c r="H243" s="28" t="n">
        <v>112</v>
      </c>
      <c r="I243" s="28" t="n">
        <v>88</v>
      </c>
      <c r="J243" s="28" t="n">
        <v>32</v>
      </c>
      <c r="K243" s="28" t="n">
        <v>1800</v>
      </c>
      <c r="L243" s="28" t="n">
        <v>45274</v>
      </c>
      <c r="M243" s="28" t="n">
        <v>995</v>
      </c>
    </row>
    <row r="244" customFormat="false" ht="12.8" hidden="false" customHeight="false" outlineLevel="0" collapsed="false">
      <c r="A244" s="5" t="s">
        <v>116</v>
      </c>
      <c r="B244" s="5" t="n">
        <v>15</v>
      </c>
      <c r="C244" s="5" t="n">
        <v>3600</v>
      </c>
      <c r="D244" s="5" t="n">
        <v>120</v>
      </c>
      <c r="E244" s="5" t="n">
        <v>3387</v>
      </c>
      <c r="F244" s="28" t="n">
        <v>3212.45</v>
      </c>
      <c r="G244" s="28" t="s">
        <v>51</v>
      </c>
      <c r="H244" s="28" t="n">
        <v>107</v>
      </c>
      <c r="I244" s="28" t="n">
        <v>107</v>
      </c>
      <c r="J244" s="28" t="n">
        <v>13</v>
      </c>
      <c r="K244" s="28" t="n">
        <v>1274</v>
      </c>
      <c r="L244" s="28" t="n">
        <v>10238</v>
      </c>
      <c r="M244" s="28" t="n">
        <v>45</v>
      </c>
    </row>
    <row r="245" customFormat="false" ht="12.8" hidden="false" customHeight="false" outlineLevel="0" collapsed="false">
      <c r="A245" s="5" t="s">
        <v>117</v>
      </c>
      <c r="B245" s="5" t="n">
        <v>15</v>
      </c>
      <c r="C245" s="5" t="n">
        <v>3600</v>
      </c>
      <c r="D245" s="5" t="n">
        <v>125</v>
      </c>
      <c r="E245" s="5" t="n">
        <v>390</v>
      </c>
      <c r="F245" s="28" t="n">
        <v>3600</v>
      </c>
      <c r="G245" s="28" t="s">
        <v>54</v>
      </c>
      <c r="H245" s="28" t="n">
        <v>122.035</v>
      </c>
      <c r="I245" s="28" t="n">
        <v>91</v>
      </c>
      <c r="J245" s="28" t="n">
        <v>34</v>
      </c>
      <c r="K245" s="28" t="n">
        <v>1689</v>
      </c>
      <c r="L245" s="28" t="n">
        <v>7292</v>
      </c>
      <c r="M245" s="28" t="n">
        <v>51</v>
      </c>
    </row>
    <row r="246" customFormat="false" ht="12.8" hidden="false" customHeight="false" outlineLevel="0" collapsed="false">
      <c r="A246" s="5" t="s">
        <v>119</v>
      </c>
      <c r="B246" s="5" t="n">
        <v>15</v>
      </c>
      <c r="C246" s="5" t="n">
        <v>3600</v>
      </c>
      <c r="D246" s="5" t="n">
        <v>125</v>
      </c>
      <c r="E246" s="5" t="n">
        <v>1257</v>
      </c>
      <c r="F246" s="28" t="n">
        <v>3600</v>
      </c>
      <c r="G246" s="28" t="s">
        <v>54</v>
      </c>
      <c r="H246" s="28" t="n">
        <v>119.847</v>
      </c>
      <c r="I246" s="28" t="s">
        <v>175</v>
      </c>
      <c r="J246" s="28" t="s">
        <v>175</v>
      </c>
      <c r="K246" s="28" t="n">
        <v>1560</v>
      </c>
      <c r="L246" s="28" t="n">
        <v>14683</v>
      </c>
      <c r="M246" s="28" t="n">
        <v>58</v>
      </c>
    </row>
    <row r="247" customFormat="false" ht="12.8" hidden="false" customHeight="false" outlineLevel="0" collapsed="false">
      <c r="A247" s="5" t="s">
        <v>120</v>
      </c>
      <c r="B247" s="5" t="n">
        <v>15</v>
      </c>
      <c r="C247" s="5" t="n">
        <v>3600</v>
      </c>
      <c r="D247" s="5" t="n">
        <v>125</v>
      </c>
      <c r="E247" s="5" t="n">
        <v>1022</v>
      </c>
      <c r="F247" s="28" t="n">
        <v>3600</v>
      </c>
      <c r="G247" s="28" t="s">
        <v>54</v>
      </c>
      <c r="H247" s="28" t="n">
        <v>119.108</v>
      </c>
      <c r="I247" s="28" t="n">
        <v>32</v>
      </c>
      <c r="J247" s="28" t="n">
        <v>93</v>
      </c>
      <c r="K247" s="28" t="n">
        <v>1583</v>
      </c>
      <c r="L247" s="28" t="n">
        <v>14961</v>
      </c>
      <c r="M247" s="28" t="n">
        <v>415</v>
      </c>
    </row>
    <row r="248" customFormat="false" ht="12.8" hidden="false" customHeight="false" outlineLevel="0" collapsed="false">
      <c r="A248" s="5" t="s">
        <v>121</v>
      </c>
      <c r="B248" s="5" t="n">
        <v>15</v>
      </c>
      <c r="C248" s="5" t="n">
        <v>3600</v>
      </c>
      <c r="D248" s="5" t="n">
        <v>125</v>
      </c>
      <c r="E248" s="5" t="n">
        <v>943</v>
      </c>
      <c r="F248" s="28" t="n">
        <v>3600</v>
      </c>
      <c r="G248" s="28" t="s">
        <v>54</v>
      </c>
      <c r="H248" s="28" t="n">
        <v>121.451</v>
      </c>
      <c r="I248" s="28" t="n">
        <v>40</v>
      </c>
      <c r="J248" s="28" t="n">
        <v>85</v>
      </c>
      <c r="K248" s="28" t="n">
        <v>1595</v>
      </c>
      <c r="L248" s="28" t="n">
        <v>15597</v>
      </c>
      <c r="M248" s="28" t="n">
        <v>1452</v>
      </c>
    </row>
    <row r="249" customFormat="false" ht="12.8" hidden="false" customHeight="false" outlineLevel="0" collapsed="false">
      <c r="A249" s="5" t="s">
        <v>124</v>
      </c>
      <c r="B249" s="5" t="n">
        <v>15</v>
      </c>
      <c r="C249" s="5" t="n">
        <v>3600</v>
      </c>
      <c r="D249" s="5" t="n">
        <v>125</v>
      </c>
      <c r="E249" s="5" t="n">
        <v>1177</v>
      </c>
      <c r="F249" s="28" t="n">
        <v>3600</v>
      </c>
      <c r="G249" s="28" t="s">
        <v>54</v>
      </c>
      <c r="H249" s="28" t="n">
        <v>118.349</v>
      </c>
      <c r="I249" s="28" t="n">
        <v>24</v>
      </c>
      <c r="J249" s="28" t="n">
        <v>101</v>
      </c>
      <c r="K249" s="28" t="n">
        <v>1415</v>
      </c>
      <c r="L249" s="28" t="n">
        <v>13699</v>
      </c>
      <c r="M249" s="28" t="n">
        <v>321</v>
      </c>
    </row>
    <row r="250" customFormat="false" ht="12.8" hidden="false" customHeight="false" outlineLevel="0" collapsed="false">
      <c r="A250" s="5" t="s">
        <v>125</v>
      </c>
      <c r="B250" s="5" t="n">
        <v>15</v>
      </c>
      <c r="C250" s="5" t="n">
        <v>3600</v>
      </c>
      <c r="D250" s="5" t="n">
        <v>125</v>
      </c>
      <c r="E250" s="5" t="n">
        <v>1218</v>
      </c>
      <c r="F250" s="28" t="n">
        <v>3600</v>
      </c>
      <c r="G250" s="28" t="s">
        <v>54</v>
      </c>
      <c r="H250" s="28" t="n">
        <v>120.096</v>
      </c>
      <c r="I250" s="28" t="n">
        <v>24</v>
      </c>
      <c r="J250" s="28" t="n">
        <v>101</v>
      </c>
      <c r="K250" s="28" t="n">
        <v>1528</v>
      </c>
      <c r="L250" s="28" t="n">
        <v>16468</v>
      </c>
      <c r="M250" s="28" t="n">
        <v>251</v>
      </c>
    </row>
    <row r="251" customFormat="false" ht="12.8" hidden="false" customHeight="false" outlineLevel="0" collapsed="false">
      <c r="A251" s="5" t="s">
        <v>126</v>
      </c>
      <c r="B251" s="5" t="n">
        <v>15</v>
      </c>
      <c r="C251" s="5" t="n">
        <v>3600</v>
      </c>
      <c r="D251" s="5" t="n">
        <v>125</v>
      </c>
      <c r="E251" s="5" t="n">
        <v>444</v>
      </c>
      <c r="F251" s="28" t="n">
        <v>3600</v>
      </c>
      <c r="G251" s="28" t="s">
        <v>54</v>
      </c>
      <c r="H251" s="28" t="n">
        <v>122.724</v>
      </c>
      <c r="I251" s="28" t="n">
        <v>101</v>
      </c>
      <c r="J251" s="28" t="n">
        <v>24</v>
      </c>
      <c r="K251" s="28" t="n">
        <v>1748</v>
      </c>
      <c r="L251" s="28" t="n">
        <v>6169</v>
      </c>
      <c r="M251" s="28" t="n">
        <v>3644</v>
      </c>
    </row>
    <row r="252" customFormat="false" ht="12.8" hidden="false" customHeight="false" outlineLevel="0" collapsed="false">
      <c r="A252" s="5" t="s">
        <v>127</v>
      </c>
      <c r="B252" s="5" t="n">
        <v>15</v>
      </c>
      <c r="C252" s="5" t="n">
        <v>3600</v>
      </c>
      <c r="D252" s="5" t="n">
        <v>125</v>
      </c>
      <c r="E252" s="5" t="n">
        <v>386</v>
      </c>
      <c r="F252" s="28" t="n">
        <v>3600</v>
      </c>
      <c r="G252" s="28" t="s">
        <v>54</v>
      </c>
      <c r="H252" s="28" t="n">
        <v>121.156</v>
      </c>
      <c r="I252" s="28" t="n">
        <v>102</v>
      </c>
      <c r="J252" s="28" t="n">
        <v>23</v>
      </c>
      <c r="K252" s="28" t="n">
        <v>1685</v>
      </c>
      <c r="L252" s="28" t="n">
        <v>6002</v>
      </c>
      <c r="M252" s="28" t="n">
        <v>1729</v>
      </c>
    </row>
    <row r="253" customFormat="false" ht="12.8" hidden="false" customHeight="false" outlineLevel="0" collapsed="false">
      <c r="A253" s="5" t="s">
        <v>128</v>
      </c>
      <c r="B253" s="5" t="n">
        <v>15</v>
      </c>
      <c r="C253" s="5" t="n">
        <v>3600</v>
      </c>
      <c r="D253" s="5" t="n">
        <v>80</v>
      </c>
      <c r="E253" s="5" t="n">
        <v>1201</v>
      </c>
      <c r="F253" s="28" t="n">
        <v>3600</v>
      </c>
      <c r="G253" s="28" t="s">
        <v>54</v>
      </c>
      <c r="H253" s="28" t="n">
        <v>66.1514</v>
      </c>
      <c r="I253" s="28" t="n">
        <v>60</v>
      </c>
      <c r="J253" s="28" t="n">
        <v>20</v>
      </c>
      <c r="K253" s="28" t="n">
        <v>1200</v>
      </c>
      <c r="L253" s="28" t="n">
        <v>18309</v>
      </c>
      <c r="M253" s="28" t="n">
        <v>1831</v>
      </c>
    </row>
    <row r="254" customFormat="false" ht="12.8" hidden="false" customHeight="false" outlineLevel="0" collapsed="false">
      <c r="A254" s="5" t="s">
        <v>131</v>
      </c>
      <c r="B254" s="5" t="n">
        <v>15</v>
      </c>
      <c r="C254" s="5" t="n">
        <v>3600</v>
      </c>
      <c r="D254" s="5" t="n">
        <v>80</v>
      </c>
      <c r="E254" s="5" t="n">
        <v>1786</v>
      </c>
      <c r="F254" s="28" t="n">
        <v>19.8113</v>
      </c>
      <c r="G254" s="28" t="s">
        <v>51</v>
      </c>
      <c r="H254" s="28" t="n">
        <v>31</v>
      </c>
      <c r="I254" s="28" t="n">
        <v>31</v>
      </c>
      <c r="J254" s="28" t="n">
        <v>49</v>
      </c>
      <c r="K254" s="28" t="n">
        <v>44</v>
      </c>
      <c r="L254" s="28" t="n">
        <v>242</v>
      </c>
      <c r="M254" s="28" t="n">
        <v>1</v>
      </c>
    </row>
    <row r="255" customFormat="false" ht="12.8" hidden="false" customHeight="false" outlineLevel="0" collapsed="false">
      <c r="A255" s="5" t="s">
        <v>134</v>
      </c>
      <c r="B255" s="5" t="n">
        <v>15</v>
      </c>
      <c r="C255" s="5" t="n">
        <v>3600</v>
      </c>
      <c r="D255" s="5" t="n">
        <v>77</v>
      </c>
      <c r="E255" s="5" t="n">
        <v>254</v>
      </c>
      <c r="F255" s="28" t="n">
        <v>294.595</v>
      </c>
      <c r="G255" s="28" t="s">
        <v>51</v>
      </c>
      <c r="H255" s="28" t="n">
        <v>74</v>
      </c>
      <c r="I255" s="28" t="n">
        <v>74</v>
      </c>
      <c r="J255" s="28" t="n">
        <v>3</v>
      </c>
      <c r="K255" s="28" t="n">
        <v>1017</v>
      </c>
      <c r="L255" s="28" t="n">
        <v>3091</v>
      </c>
      <c r="M255" s="28" t="n">
        <v>370</v>
      </c>
    </row>
    <row r="256" customFormat="false" ht="12.8" hidden="false" customHeight="false" outlineLevel="0" collapsed="false">
      <c r="A256" s="5" t="s">
        <v>138</v>
      </c>
      <c r="B256" s="5" t="n">
        <v>15</v>
      </c>
      <c r="C256" s="5" t="n">
        <v>3600</v>
      </c>
      <c r="D256" s="5" t="n">
        <v>128</v>
      </c>
      <c r="E256" s="5" t="n">
        <v>387</v>
      </c>
      <c r="F256" s="28" t="n">
        <v>3600</v>
      </c>
      <c r="G256" s="28" t="s">
        <v>54</v>
      </c>
      <c r="H256" s="28" t="n">
        <v>127.15</v>
      </c>
      <c r="I256" s="28" t="n">
        <v>123</v>
      </c>
      <c r="J256" s="28" t="n">
        <v>5</v>
      </c>
      <c r="K256" s="28" t="n">
        <v>1796</v>
      </c>
      <c r="L256" s="28" t="n">
        <v>5843</v>
      </c>
      <c r="M256" s="28" t="n">
        <v>5993</v>
      </c>
    </row>
    <row r="257" customFormat="false" ht="12.8" hidden="false" customHeight="false" outlineLevel="0" collapsed="false">
      <c r="A257" s="5" t="s">
        <v>139</v>
      </c>
      <c r="B257" s="5" t="n">
        <v>15</v>
      </c>
      <c r="C257" s="5" t="n">
        <v>3600</v>
      </c>
      <c r="D257" s="5" t="n">
        <v>128</v>
      </c>
      <c r="E257" s="5" t="n">
        <v>1170</v>
      </c>
      <c r="F257" s="28" t="n">
        <v>3600</v>
      </c>
      <c r="G257" s="28" t="s">
        <v>54</v>
      </c>
      <c r="H257" s="28" t="n">
        <v>123.733</v>
      </c>
      <c r="I257" s="28" t="n">
        <v>56</v>
      </c>
      <c r="J257" s="28" t="n">
        <v>72</v>
      </c>
      <c r="K257" s="28" t="n">
        <v>1775</v>
      </c>
      <c r="L257" s="28" t="n">
        <v>18330</v>
      </c>
      <c r="M257" s="28" t="n">
        <v>743</v>
      </c>
    </row>
    <row r="258" customFormat="false" ht="12.8" hidden="false" customHeight="false" outlineLevel="0" collapsed="false">
      <c r="A258" s="5" t="s">
        <v>141</v>
      </c>
      <c r="B258" s="5" t="n">
        <v>15</v>
      </c>
      <c r="C258" s="5" t="n">
        <v>3600</v>
      </c>
      <c r="D258" s="5" t="n">
        <v>100</v>
      </c>
      <c r="E258" s="5" t="n">
        <v>166</v>
      </c>
      <c r="F258" s="28" t="n">
        <v>3600</v>
      </c>
      <c r="G258" s="28" t="s">
        <v>54</v>
      </c>
      <c r="H258" s="28" t="n">
        <v>97.6635</v>
      </c>
      <c r="I258" s="28" t="n">
        <v>82</v>
      </c>
      <c r="J258" s="28" t="n">
        <v>18</v>
      </c>
      <c r="K258" s="28" t="n">
        <v>1283</v>
      </c>
      <c r="L258" s="28" t="n">
        <v>2849</v>
      </c>
      <c r="M258" s="28" t="n">
        <v>9507</v>
      </c>
    </row>
    <row r="259" customFormat="false" ht="12.8" hidden="false" customHeight="false" outlineLevel="0" collapsed="false">
      <c r="A259" s="5" t="s">
        <v>142</v>
      </c>
      <c r="B259" s="5" t="n">
        <v>15</v>
      </c>
      <c r="C259" s="5" t="n">
        <v>3600</v>
      </c>
      <c r="D259" s="5" t="n">
        <v>100</v>
      </c>
      <c r="E259" s="5" t="n">
        <v>166</v>
      </c>
      <c r="F259" s="28" t="n">
        <v>3600</v>
      </c>
      <c r="G259" s="28" t="s">
        <v>54</v>
      </c>
      <c r="H259" s="28" t="n">
        <v>97.8694</v>
      </c>
      <c r="I259" s="28" t="n">
        <v>81</v>
      </c>
      <c r="J259" s="28" t="n">
        <v>19</v>
      </c>
      <c r="K259" s="28" t="n">
        <v>1381</v>
      </c>
      <c r="L259" s="28" t="n">
        <v>3151</v>
      </c>
      <c r="M259" s="28" t="n">
        <v>8201</v>
      </c>
    </row>
    <row r="260" customFormat="false" ht="12.8" hidden="false" customHeight="false" outlineLevel="0" collapsed="false">
      <c r="A260" s="5" t="s">
        <v>143</v>
      </c>
      <c r="B260" s="5" t="n">
        <v>15</v>
      </c>
      <c r="C260" s="5" t="n">
        <v>3600</v>
      </c>
      <c r="D260" s="5" t="n">
        <v>88</v>
      </c>
      <c r="E260" s="5" t="n">
        <v>146</v>
      </c>
      <c r="F260" s="28" t="n">
        <v>3600</v>
      </c>
      <c r="G260" s="28" t="s">
        <v>54</v>
      </c>
      <c r="H260" s="28" t="n">
        <v>85.0439</v>
      </c>
      <c r="I260" s="28" t="n">
        <v>71</v>
      </c>
      <c r="J260" s="28" t="n">
        <v>17</v>
      </c>
      <c r="K260" s="28" t="n">
        <v>1122</v>
      </c>
      <c r="L260" s="28" t="n">
        <v>3336</v>
      </c>
      <c r="M260" s="28" t="n">
        <v>12834</v>
      </c>
    </row>
    <row r="261" customFormat="false" ht="12.8" hidden="false" customHeight="false" outlineLevel="0" collapsed="false">
      <c r="A261" s="5" t="s">
        <v>144</v>
      </c>
      <c r="B261" s="5" t="n">
        <v>15</v>
      </c>
      <c r="C261" s="5" t="n">
        <v>3600</v>
      </c>
      <c r="D261" s="5" t="n">
        <v>88</v>
      </c>
      <c r="E261" s="5" t="n">
        <v>146</v>
      </c>
      <c r="F261" s="28" t="n">
        <v>3600</v>
      </c>
      <c r="G261" s="28" t="s">
        <v>54</v>
      </c>
      <c r="H261" s="28" t="n">
        <v>85.026</v>
      </c>
      <c r="I261" s="28" t="n">
        <v>69</v>
      </c>
      <c r="J261" s="28" t="n">
        <v>19</v>
      </c>
      <c r="K261" s="28" t="n">
        <v>1109</v>
      </c>
      <c r="L261" s="28" t="n">
        <v>3650</v>
      </c>
      <c r="M261" s="28" t="n">
        <v>27387</v>
      </c>
    </row>
    <row r="262" customFormat="false" ht="12.8" hidden="false" customHeight="false" outlineLevel="0" collapsed="false">
      <c r="A262" s="5" t="s">
        <v>145</v>
      </c>
      <c r="B262" s="5" t="n">
        <v>15</v>
      </c>
      <c r="C262" s="5" t="n">
        <v>3600</v>
      </c>
      <c r="D262" s="5" t="n">
        <v>188</v>
      </c>
      <c r="E262" s="5" t="n">
        <v>3885</v>
      </c>
      <c r="F262" s="28" t="n">
        <v>192.275</v>
      </c>
      <c r="G262" s="28" t="s">
        <v>51</v>
      </c>
      <c r="H262" s="28" t="n">
        <v>188</v>
      </c>
      <c r="I262" s="28" t="n">
        <v>188</v>
      </c>
      <c r="J262" s="28" t="n">
        <v>0</v>
      </c>
      <c r="K262" s="28" t="n">
        <v>2820</v>
      </c>
      <c r="L262" s="28" t="n">
        <v>58504</v>
      </c>
      <c r="M262" s="28" t="n">
        <v>1</v>
      </c>
    </row>
    <row r="263" customFormat="false" ht="12.8" hidden="false" customHeight="false" outlineLevel="0" collapsed="false">
      <c r="A263" s="5" t="s">
        <v>146</v>
      </c>
      <c r="B263" s="5" t="n">
        <v>15</v>
      </c>
      <c r="C263" s="5" t="n">
        <v>3600</v>
      </c>
      <c r="D263" s="5" t="n">
        <v>184</v>
      </c>
      <c r="E263" s="5" t="n">
        <v>3916</v>
      </c>
      <c r="F263" s="28" t="n">
        <v>3600</v>
      </c>
      <c r="G263" s="28" t="s">
        <v>54</v>
      </c>
      <c r="H263" s="28" t="n">
        <v>182</v>
      </c>
      <c r="I263" s="28" t="n">
        <v>159</v>
      </c>
      <c r="J263" s="28" t="n">
        <v>25</v>
      </c>
      <c r="K263" s="28" t="n">
        <v>2760</v>
      </c>
      <c r="L263" s="28" t="n">
        <v>59193</v>
      </c>
      <c r="M263" s="28" t="n">
        <v>431</v>
      </c>
    </row>
    <row r="264" customFormat="false" ht="12.8" hidden="false" customHeight="false" outlineLevel="0" collapsed="false">
      <c r="A264" s="5" t="s">
        <v>147</v>
      </c>
      <c r="B264" s="5" t="n">
        <v>15</v>
      </c>
      <c r="C264" s="5" t="n">
        <v>3600</v>
      </c>
      <c r="D264" s="5" t="n">
        <v>185</v>
      </c>
      <c r="E264" s="5" t="n">
        <v>3946</v>
      </c>
      <c r="F264" s="28" t="n">
        <v>3600.02</v>
      </c>
      <c r="G264" s="28" t="s">
        <v>54</v>
      </c>
      <c r="H264" s="28" t="n">
        <v>183.522</v>
      </c>
      <c r="I264" s="28" t="n">
        <v>166</v>
      </c>
      <c r="J264" s="28" t="n">
        <v>19</v>
      </c>
      <c r="K264" s="28" t="n">
        <v>2775</v>
      </c>
      <c r="L264" s="28" t="n">
        <v>59630</v>
      </c>
      <c r="M264" s="28" t="n">
        <v>67</v>
      </c>
    </row>
    <row r="265" customFormat="false" ht="12.8" hidden="false" customHeight="false" outlineLevel="0" collapsed="false">
      <c r="A265" s="5" t="s">
        <v>148</v>
      </c>
      <c r="B265" s="5" t="n">
        <v>15</v>
      </c>
      <c r="C265" s="5" t="n">
        <v>3600</v>
      </c>
      <c r="D265" s="5" t="n">
        <v>186</v>
      </c>
      <c r="E265" s="5" t="n">
        <v>3973</v>
      </c>
      <c r="F265" s="28" t="n">
        <v>3600.01</v>
      </c>
      <c r="G265" s="28" t="s">
        <v>54</v>
      </c>
      <c r="H265" s="28" t="n">
        <v>184.977</v>
      </c>
      <c r="I265" s="28" t="n">
        <v>167</v>
      </c>
      <c r="J265" s="28" t="n">
        <v>19</v>
      </c>
      <c r="K265" s="28" t="n">
        <v>2790</v>
      </c>
      <c r="L265" s="28" t="n">
        <v>59823</v>
      </c>
      <c r="M265" s="28" t="n">
        <v>29</v>
      </c>
    </row>
    <row r="266" customFormat="false" ht="12.8" hidden="false" customHeight="false" outlineLevel="0" collapsed="false">
      <c r="A266" s="5" t="s">
        <v>151</v>
      </c>
      <c r="B266" s="5" t="n">
        <v>15</v>
      </c>
      <c r="C266" s="5" t="n">
        <v>3600</v>
      </c>
      <c r="D266" s="5" t="n">
        <v>47</v>
      </c>
      <c r="E266" s="5" t="n">
        <v>236</v>
      </c>
      <c r="F266" s="28" t="n">
        <v>66.3994</v>
      </c>
      <c r="G266" s="28" t="s">
        <v>51</v>
      </c>
      <c r="H266" s="28" t="n">
        <v>29</v>
      </c>
      <c r="I266" s="28" t="n">
        <v>29</v>
      </c>
      <c r="J266" s="28" t="n">
        <v>18</v>
      </c>
      <c r="K266" s="28" t="n">
        <v>463</v>
      </c>
      <c r="L266" s="28" t="n">
        <v>1193</v>
      </c>
      <c r="M266" s="28" t="n">
        <v>733</v>
      </c>
    </row>
    <row r="267" customFormat="false" ht="12.8" hidden="false" customHeight="false" outlineLevel="0" collapsed="false">
      <c r="A267" s="5" t="s">
        <v>152</v>
      </c>
      <c r="B267" s="5" t="n">
        <v>15</v>
      </c>
      <c r="C267" s="5" t="n">
        <v>3600</v>
      </c>
      <c r="D267" s="5" t="n">
        <v>95</v>
      </c>
      <c r="E267" s="5" t="n">
        <v>755</v>
      </c>
      <c r="F267" s="28" t="n">
        <v>3600</v>
      </c>
      <c r="G267" s="28" t="s">
        <v>54</v>
      </c>
      <c r="H267" s="28" t="n">
        <v>83.2259</v>
      </c>
      <c r="I267" s="28" t="n">
        <v>76</v>
      </c>
      <c r="J267" s="28" t="n">
        <v>19</v>
      </c>
      <c r="K267" s="28" t="n">
        <v>1206</v>
      </c>
      <c r="L267" s="28" t="n">
        <v>7131</v>
      </c>
      <c r="M267" s="28" t="n">
        <v>539</v>
      </c>
    </row>
    <row r="268" customFormat="false" ht="12.8" hidden="false" customHeight="false" outlineLevel="0" collapsed="false">
      <c r="A268" s="5" t="s">
        <v>153</v>
      </c>
      <c r="B268" s="5" t="n">
        <v>15</v>
      </c>
      <c r="C268" s="5" t="n">
        <v>3600</v>
      </c>
      <c r="D268" s="5" t="n">
        <v>191</v>
      </c>
      <c r="E268" s="5" t="n">
        <v>2360</v>
      </c>
      <c r="F268" s="28" t="n">
        <v>3600</v>
      </c>
      <c r="G268" s="28" t="s">
        <v>54</v>
      </c>
      <c r="H268" s="28" t="n">
        <v>185.376</v>
      </c>
      <c r="I268" s="28" t="n">
        <v>168</v>
      </c>
      <c r="J268" s="28" t="n">
        <v>23</v>
      </c>
      <c r="K268" s="28" t="n">
        <v>2665</v>
      </c>
      <c r="L268" s="28" t="n">
        <v>27899</v>
      </c>
      <c r="M268" s="28" t="n">
        <v>242</v>
      </c>
    </row>
    <row r="269" customFormat="false" ht="12.8" hidden="false" customHeight="false" outlineLevel="0" collapsed="false">
      <c r="A269" s="5" t="s">
        <v>154</v>
      </c>
      <c r="B269" s="5" t="n">
        <v>15</v>
      </c>
      <c r="C269" s="5" t="n">
        <v>3600</v>
      </c>
      <c r="D269" s="5" t="n">
        <v>105</v>
      </c>
      <c r="E269" s="5" t="n">
        <v>441</v>
      </c>
      <c r="F269" s="28" t="n">
        <v>3600</v>
      </c>
      <c r="G269" s="28" t="s">
        <v>54</v>
      </c>
      <c r="H269" s="28" t="n">
        <v>98.3735</v>
      </c>
      <c r="I269" s="28" t="n">
        <v>81</v>
      </c>
      <c r="J269" s="28" t="n">
        <v>24</v>
      </c>
      <c r="K269" s="28" t="n">
        <v>1441</v>
      </c>
      <c r="L269" s="28" t="n">
        <v>6934</v>
      </c>
      <c r="M269" s="28" t="n">
        <v>5523</v>
      </c>
    </row>
    <row r="270" customFormat="false" ht="12.8" hidden="false" customHeight="false" outlineLevel="0" collapsed="false">
      <c r="A270" s="5" t="s">
        <v>167</v>
      </c>
      <c r="B270" s="5" t="n">
        <v>15</v>
      </c>
      <c r="C270" s="5" t="n">
        <v>3600</v>
      </c>
      <c r="D270" s="5" t="n">
        <v>125</v>
      </c>
      <c r="E270" s="5" t="n">
        <v>209</v>
      </c>
      <c r="F270" s="28" t="n">
        <v>2377.59</v>
      </c>
      <c r="G270" s="28" t="s">
        <v>51</v>
      </c>
      <c r="H270" s="28" t="n">
        <v>124</v>
      </c>
      <c r="I270" s="28" t="n">
        <v>124</v>
      </c>
      <c r="J270" s="28" t="n">
        <v>1</v>
      </c>
      <c r="K270" s="28" t="n">
        <v>1768</v>
      </c>
      <c r="L270" s="28" t="n">
        <v>3063</v>
      </c>
      <c r="M270" s="28" t="n">
        <v>4877</v>
      </c>
    </row>
    <row r="271" customFormat="false" ht="12.8" hidden="false" customHeight="false" outlineLevel="0" collapsed="false">
      <c r="A271" s="5" t="s">
        <v>170</v>
      </c>
      <c r="B271" s="5" t="n">
        <v>15</v>
      </c>
      <c r="C271" s="5" t="n">
        <v>3600</v>
      </c>
      <c r="D271" s="5" t="n">
        <v>136</v>
      </c>
      <c r="E271" s="5" t="n">
        <v>641</v>
      </c>
      <c r="F271" s="28" t="n">
        <v>3600</v>
      </c>
      <c r="G271" s="28" t="s">
        <v>54</v>
      </c>
      <c r="H271" s="28" t="n">
        <v>133.319</v>
      </c>
      <c r="I271" s="28" t="n">
        <v>92</v>
      </c>
      <c r="J271" s="28" t="n">
        <v>44</v>
      </c>
      <c r="K271" s="28" t="n">
        <v>1935</v>
      </c>
      <c r="L271" s="28" t="n">
        <v>9855</v>
      </c>
      <c r="M271" s="28" t="n">
        <v>395</v>
      </c>
    </row>
    <row r="272" customFormat="false" ht="12.8" hidden="false" customHeight="false" outlineLevel="0" collapsed="false">
      <c r="A272" s="5" t="s">
        <v>173</v>
      </c>
      <c r="B272" s="5" t="n">
        <v>15</v>
      </c>
      <c r="C272" s="5" t="n">
        <v>3600</v>
      </c>
      <c r="D272" s="5" t="n">
        <v>132</v>
      </c>
      <c r="E272" s="5" t="n">
        <v>560</v>
      </c>
      <c r="F272" s="28" t="n">
        <v>3600</v>
      </c>
      <c r="G272" s="28" t="s">
        <v>54</v>
      </c>
      <c r="H272" s="28" t="n">
        <v>129.36</v>
      </c>
      <c r="I272" s="28" t="n">
        <v>106</v>
      </c>
      <c r="J272" s="28" t="n">
        <v>26</v>
      </c>
      <c r="K272" s="28" t="n">
        <v>1740</v>
      </c>
      <c r="L272" s="28" t="n">
        <v>9496</v>
      </c>
      <c r="M272" s="28" t="n">
        <v>115</v>
      </c>
    </row>
    <row r="273" customFormat="false" ht="12.8" hidden="false" customHeight="false" outlineLevel="0" collapsed="false">
      <c r="A273" s="5" t="s">
        <v>52</v>
      </c>
      <c r="B273" s="5" t="n">
        <v>20</v>
      </c>
      <c r="C273" s="5" t="n">
        <v>3600</v>
      </c>
      <c r="D273" s="5" t="n">
        <v>93</v>
      </c>
      <c r="E273" s="5" t="n">
        <v>593</v>
      </c>
      <c r="F273" s="28" t="n">
        <v>3600</v>
      </c>
      <c r="G273" s="28" t="s">
        <v>54</v>
      </c>
      <c r="H273" s="28" t="n">
        <v>85.0913</v>
      </c>
      <c r="I273" s="28" t="n">
        <v>61</v>
      </c>
      <c r="J273" s="28" t="n">
        <v>32</v>
      </c>
      <c r="K273" s="28" t="n">
        <v>1488</v>
      </c>
      <c r="L273" s="28" t="n">
        <v>10141</v>
      </c>
      <c r="M273" s="28" t="n">
        <v>897</v>
      </c>
    </row>
    <row r="274" customFormat="false" ht="12.8" hidden="false" customHeight="false" outlineLevel="0" collapsed="false">
      <c r="A274" s="5" t="s">
        <v>55</v>
      </c>
      <c r="B274" s="5" t="n">
        <v>20</v>
      </c>
      <c r="C274" s="5" t="n">
        <v>3600</v>
      </c>
      <c r="D274" s="5" t="n">
        <v>67</v>
      </c>
      <c r="E274" s="5" t="n">
        <v>232</v>
      </c>
      <c r="F274" s="28" t="n">
        <v>3600</v>
      </c>
      <c r="G274" s="28" t="s">
        <v>54</v>
      </c>
      <c r="H274" s="28" t="n">
        <v>55.7701</v>
      </c>
      <c r="I274" s="28" t="n">
        <v>45</v>
      </c>
      <c r="J274" s="28" t="n">
        <v>22</v>
      </c>
      <c r="K274" s="28" t="n">
        <v>1003</v>
      </c>
      <c r="L274" s="28" t="n">
        <v>3934</v>
      </c>
      <c r="M274" s="28" t="n">
        <v>3111</v>
      </c>
    </row>
    <row r="275" customFormat="false" ht="12.8" hidden="false" customHeight="false" outlineLevel="0" collapsed="false">
      <c r="A275" s="5" t="s">
        <v>56</v>
      </c>
      <c r="B275" s="5" t="n">
        <v>20</v>
      </c>
      <c r="C275" s="5" t="n">
        <v>3600</v>
      </c>
      <c r="D275" s="5" t="n">
        <v>52</v>
      </c>
      <c r="E275" s="5" t="n">
        <v>201</v>
      </c>
      <c r="F275" s="28" t="n">
        <v>3600</v>
      </c>
      <c r="G275" s="28" t="s">
        <v>54</v>
      </c>
      <c r="H275" s="28" t="n">
        <v>34.7238</v>
      </c>
      <c r="I275" s="28" t="n">
        <v>29</v>
      </c>
      <c r="J275" s="28" t="n">
        <v>23</v>
      </c>
      <c r="K275" s="28" t="n">
        <v>620</v>
      </c>
      <c r="L275" s="28" t="n">
        <v>4172</v>
      </c>
      <c r="M275" s="28" t="n">
        <v>8755</v>
      </c>
    </row>
    <row r="276" customFormat="false" ht="12.8" hidden="false" customHeight="false" outlineLevel="0" collapsed="false">
      <c r="A276" s="5" t="s">
        <v>58</v>
      </c>
      <c r="B276" s="5" t="n">
        <v>20</v>
      </c>
      <c r="C276" s="5" t="n">
        <v>3600</v>
      </c>
      <c r="D276" s="5" t="n">
        <v>149</v>
      </c>
      <c r="E276" s="5" t="n">
        <v>541</v>
      </c>
      <c r="F276" s="28" t="n">
        <v>3600</v>
      </c>
      <c r="G276" s="28" t="s">
        <v>54</v>
      </c>
      <c r="H276" s="28" t="n">
        <v>146.307</v>
      </c>
      <c r="I276" s="28" t="n">
        <v>113</v>
      </c>
      <c r="J276" s="28" t="n">
        <v>36</v>
      </c>
      <c r="K276" s="28" t="n">
        <v>2668</v>
      </c>
      <c r="L276" s="28" t="n">
        <v>9576</v>
      </c>
      <c r="M276" s="28" t="n">
        <v>16</v>
      </c>
    </row>
    <row r="277" customFormat="false" ht="12.8" hidden="false" customHeight="false" outlineLevel="0" collapsed="false">
      <c r="A277" s="5" t="s">
        <v>59</v>
      </c>
      <c r="B277" s="5" t="n">
        <v>20</v>
      </c>
      <c r="C277" s="5" t="n">
        <v>3600</v>
      </c>
      <c r="D277" s="5" t="n">
        <v>80</v>
      </c>
      <c r="E277" s="5" t="n">
        <v>346</v>
      </c>
      <c r="F277" s="28" t="n">
        <v>3600</v>
      </c>
      <c r="G277" s="28" t="s">
        <v>54</v>
      </c>
      <c r="H277" s="28" t="n">
        <v>73.3083</v>
      </c>
      <c r="I277" s="28" t="n">
        <v>50</v>
      </c>
      <c r="J277" s="28" t="n">
        <v>30</v>
      </c>
      <c r="K277" s="28" t="n">
        <v>1243</v>
      </c>
      <c r="L277" s="28" t="n">
        <v>7648</v>
      </c>
      <c r="M277" s="28" t="n">
        <v>662</v>
      </c>
    </row>
    <row r="278" customFormat="false" ht="12.8" hidden="false" customHeight="false" outlineLevel="0" collapsed="false">
      <c r="A278" s="5" t="s">
        <v>60</v>
      </c>
      <c r="B278" s="5" t="n">
        <v>20</v>
      </c>
      <c r="C278" s="5" t="n">
        <v>3600</v>
      </c>
      <c r="D278" s="5" t="n">
        <v>56</v>
      </c>
      <c r="E278" s="5" t="n">
        <v>110</v>
      </c>
      <c r="F278" s="28" t="n">
        <v>3600</v>
      </c>
      <c r="G278" s="28" t="s">
        <v>54</v>
      </c>
      <c r="H278" s="28" t="n">
        <v>47.6633</v>
      </c>
      <c r="I278" s="28" t="n">
        <v>35</v>
      </c>
      <c r="J278" s="28" t="n">
        <v>21</v>
      </c>
      <c r="K278" s="28" t="n">
        <v>801</v>
      </c>
      <c r="L278" s="28" t="n">
        <v>3504</v>
      </c>
      <c r="M278" s="28" t="n">
        <v>6460</v>
      </c>
    </row>
    <row r="279" customFormat="false" ht="12.8" hidden="false" customHeight="false" outlineLevel="0" collapsed="false">
      <c r="A279" s="5" t="s">
        <v>61</v>
      </c>
      <c r="B279" s="5" t="n">
        <v>20</v>
      </c>
      <c r="C279" s="5" t="n">
        <v>3600</v>
      </c>
      <c r="D279" s="5" t="n">
        <v>114</v>
      </c>
      <c r="E279" s="5" t="n">
        <v>541</v>
      </c>
      <c r="F279" s="28" t="n">
        <v>3600.01</v>
      </c>
      <c r="G279" s="28" t="s">
        <v>54</v>
      </c>
      <c r="H279" s="28" t="n">
        <v>109.788</v>
      </c>
      <c r="I279" s="28" t="n">
        <v>91</v>
      </c>
      <c r="J279" s="28" t="n">
        <v>23</v>
      </c>
      <c r="K279" s="28" t="n">
        <v>1968</v>
      </c>
      <c r="L279" s="28" t="n">
        <v>9691</v>
      </c>
      <c r="M279" s="28" t="n">
        <v>58</v>
      </c>
    </row>
    <row r="280" customFormat="false" ht="12.8" hidden="false" customHeight="false" outlineLevel="0" collapsed="false">
      <c r="A280" s="5" t="s">
        <v>62</v>
      </c>
      <c r="B280" s="5" t="n">
        <v>20</v>
      </c>
      <c r="C280" s="5" t="n">
        <v>3600</v>
      </c>
      <c r="D280" s="5" t="n">
        <v>79</v>
      </c>
      <c r="E280" s="5" t="n">
        <v>156</v>
      </c>
      <c r="F280" s="28" t="n">
        <v>3600</v>
      </c>
      <c r="G280" s="28" t="s">
        <v>54</v>
      </c>
      <c r="H280" s="28" t="n">
        <v>73.1371</v>
      </c>
      <c r="I280" s="28" t="n">
        <v>57</v>
      </c>
      <c r="J280" s="28" t="n">
        <v>22</v>
      </c>
      <c r="K280" s="28" t="n">
        <v>1263</v>
      </c>
      <c r="L280" s="28" t="n">
        <v>5667</v>
      </c>
      <c r="M280" s="28" t="n">
        <v>1244</v>
      </c>
    </row>
    <row r="281" customFormat="false" ht="12.8" hidden="false" customHeight="false" outlineLevel="0" collapsed="false">
      <c r="A281" s="5" t="s">
        <v>63</v>
      </c>
      <c r="B281" s="5" t="n">
        <v>20</v>
      </c>
      <c r="C281" s="5" t="n">
        <v>3600</v>
      </c>
      <c r="D281" s="5" t="n">
        <v>154</v>
      </c>
      <c r="E281" s="5" t="n">
        <v>792</v>
      </c>
      <c r="F281" s="28" t="n">
        <v>3600</v>
      </c>
      <c r="G281" s="28" t="s">
        <v>54</v>
      </c>
      <c r="H281" s="28" t="n">
        <v>151.865</v>
      </c>
      <c r="I281" s="28" t="n">
        <v>132</v>
      </c>
      <c r="J281" s="28" t="n">
        <v>22</v>
      </c>
      <c r="K281" s="28" t="n">
        <v>2769</v>
      </c>
      <c r="L281" s="28" t="n">
        <v>14594</v>
      </c>
      <c r="M281" s="28" t="n">
        <v>10</v>
      </c>
    </row>
    <row r="282" customFormat="false" ht="12.8" hidden="false" customHeight="false" outlineLevel="0" collapsed="false">
      <c r="A282" s="5" t="s">
        <v>65</v>
      </c>
      <c r="B282" s="5" t="n">
        <v>20</v>
      </c>
      <c r="C282" s="5" t="n">
        <v>3600</v>
      </c>
      <c r="D282" s="5" t="n">
        <v>112</v>
      </c>
      <c r="E282" s="5" t="n">
        <v>425</v>
      </c>
      <c r="F282" s="28" t="n">
        <v>3600</v>
      </c>
      <c r="G282" s="28" t="s">
        <v>54</v>
      </c>
      <c r="H282" s="28" t="n">
        <v>106.52</v>
      </c>
      <c r="I282" s="28" t="n">
        <v>93</v>
      </c>
      <c r="J282" s="28" t="n">
        <v>19</v>
      </c>
      <c r="K282" s="28" t="n">
        <v>1897</v>
      </c>
      <c r="L282" s="28" t="n">
        <v>6412</v>
      </c>
      <c r="M282" s="28" t="n">
        <v>164</v>
      </c>
    </row>
    <row r="283" customFormat="false" ht="12.8" hidden="false" customHeight="false" outlineLevel="0" collapsed="false">
      <c r="A283" s="5" t="s">
        <v>66</v>
      </c>
      <c r="B283" s="5" t="n">
        <v>20</v>
      </c>
      <c r="C283" s="5" t="n">
        <v>3600</v>
      </c>
      <c r="D283" s="5" t="n">
        <v>138</v>
      </c>
      <c r="E283" s="5" t="n">
        <v>493</v>
      </c>
      <c r="F283" s="28" t="n">
        <v>488.151</v>
      </c>
      <c r="G283" s="28" t="s">
        <v>51</v>
      </c>
      <c r="H283" s="28" t="n">
        <v>136</v>
      </c>
      <c r="I283" s="28" t="n">
        <v>136</v>
      </c>
      <c r="J283" s="28" t="n">
        <v>2</v>
      </c>
      <c r="K283" s="28" t="n">
        <v>2567</v>
      </c>
      <c r="L283" s="28" t="n">
        <v>9422</v>
      </c>
      <c r="M283" s="28" t="n">
        <v>16</v>
      </c>
    </row>
    <row r="284" customFormat="false" ht="12.8" hidden="false" customHeight="false" outlineLevel="0" collapsed="false">
      <c r="A284" s="5" t="s">
        <v>69</v>
      </c>
      <c r="B284" s="5" t="n">
        <v>20</v>
      </c>
      <c r="C284" s="5" t="n">
        <v>3600</v>
      </c>
      <c r="D284" s="5" t="n">
        <v>85</v>
      </c>
      <c r="E284" s="5" t="n">
        <v>219</v>
      </c>
      <c r="F284" s="28" t="n">
        <v>3600</v>
      </c>
      <c r="G284" s="28" t="s">
        <v>54</v>
      </c>
      <c r="H284" s="28" t="n">
        <v>80.8742</v>
      </c>
      <c r="I284" s="28" t="n">
        <v>47</v>
      </c>
      <c r="J284" s="28" t="n">
        <v>38</v>
      </c>
      <c r="K284" s="28" t="n">
        <v>1510</v>
      </c>
      <c r="L284" s="28" t="n">
        <v>5056</v>
      </c>
      <c r="M284" s="28" t="n">
        <v>2553</v>
      </c>
    </row>
    <row r="285" customFormat="false" ht="12.8" hidden="false" customHeight="false" outlineLevel="0" collapsed="false">
      <c r="A285" s="5" t="s">
        <v>70</v>
      </c>
      <c r="B285" s="5" t="n">
        <v>20</v>
      </c>
      <c r="C285" s="5" t="n">
        <v>3600</v>
      </c>
      <c r="D285" s="5" t="n">
        <v>104</v>
      </c>
      <c r="E285" s="5" t="n">
        <v>331</v>
      </c>
      <c r="F285" s="28" t="n">
        <v>3600.01</v>
      </c>
      <c r="G285" s="28" t="s">
        <v>54</v>
      </c>
      <c r="H285" s="28" t="n">
        <v>101.349</v>
      </c>
      <c r="I285" s="28" t="n">
        <v>49</v>
      </c>
      <c r="J285" s="28" t="n">
        <v>56</v>
      </c>
      <c r="K285" s="28" t="n">
        <v>1890</v>
      </c>
      <c r="L285" s="28" t="n">
        <v>7552</v>
      </c>
      <c r="M285" s="28" t="n">
        <v>1353</v>
      </c>
    </row>
    <row r="286" customFormat="false" ht="12.8" hidden="false" customHeight="false" outlineLevel="0" collapsed="false">
      <c r="A286" s="5" t="s">
        <v>74</v>
      </c>
      <c r="B286" s="5" t="n">
        <v>20</v>
      </c>
      <c r="C286" s="5" t="n">
        <v>3600</v>
      </c>
      <c r="D286" s="5" t="n">
        <v>118</v>
      </c>
      <c r="E286" s="5" t="n">
        <v>576</v>
      </c>
      <c r="F286" s="28" t="n">
        <v>3600</v>
      </c>
      <c r="G286" s="28" t="s">
        <v>54</v>
      </c>
      <c r="H286" s="28" t="n">
        <v>115.214</v>
      </c>
      <c r="I286" s="28" t="n">
        <v>55</v>
      </c>
      <c r="J286" s="28" t="n">
        <v>63</v>
      </c>
      <c r="K286" s="28" t="n">
        <v>2170</v>
      </c>
      <c r="L286" s="28" t="n">
        <v>11664</v>
      </c>
      <c r="M286" s="28" t="n">
        <v>252</v>
      </c>
    </row>
    <row r="287" customFormat="false" ht="12.8" hidden="false" customHeight="false" outlineLevel="0" collapsed="false">
      <c r="A287" s="5" t="s">
        <v>82</v>
      </c>
      <c r="B287" s="5" t="n">
        <v>20</v>
      </c>
      <c r="C287" s="5" t="n">
        <v>3600</v>
      </c>
      <c r="D287" s="5" t="n">
        <v>297</v>
      </c>
      <c r="E287" s="5" t="n">
        <v>2148</v>
      </c>
      <c r="F287" s="28" t="n">
        <v>3600.02</v>
      </c>
      <c r="G287" s="28" t="s">
        <v>54</v>
      </c>
      <c r="H287" s="28" t="n">
        <v>296.388</v>
      </c>
      <c r="I287" s="28" t="n">
        <v>282</v>
      </c>
      <c r="J287" s="28" t="n">
        <v>16</v>
      </c>
      <c r="K287" s="28" t="n">
        <v>5750</v>
      </c>
      <c r="L287" s="28" t="n">
        <v>40260</v>
      </c>
      <c r="M287" s="28" t="n">
        <v>1</v>
      </c>
    </row>
    <row r="288" customFormat="false" ht="12.8" hidden="false" customHeight="false" outlineLevel="0" collapsed="false">
      <c r="A288" s="5" t="s">
        <v>85</v>
      </c>
      <c r="B288" s="5" t="n">
        <v>20</v>
      </c>
      <c r="C288" s="5" t="n">
        <v>3600</v>
      </c>
      <c r="D288" s="5" t="n">
        <v>87</v>
      </c>
      <c r="E288" s="5" t="n">
        <v>406</v>
      </c>
      <c r="F288" s="28" t="n">
        <v>3600</v>
      </c>
      <c r="G288" s="28" t="s">
        <v>54</v>
      </c>
      <c r="H288" s="28" t="n">
        <v>79.6426</v>
      </c>
      <c r="I288" s="28" t="n">
        <v>78</v>
      </c>
      <c r="J288" s="28" t="n">
        <v>9</v>
      </c>
      <c r="K288" s="28" t="n">
        <v>1533</v>
      </c>
      <c r="L288" s="28" t="n">
        <v>6733</v>
      </c>
      <c r="M288" s="28" t="n">
        <v>3831</v>
      </c>
    </row>
    <row r="289" customFormat="false" ht="12.8" hidden="false" customHeight="false" outlineLevel="0" collapsed="false">
      <c r="A289" s="5" t="s">
        <v>87</v>
      </c>
      <c r="B289" s="5" t="n">
        <v>20</v>
      </c>
      <c r="C289" s="5" t="n">
        <v>3600</v>
      </c>
      <c r="D289" s="5" t="n">
        <v>62</v>
      </c>
      <c r="E289" s="5" t="n">
        <v>159</v>
      </c>
      <c r="F289" s="28" t="n">
        <v>3600</v>
      </c>
      <c r="G289" s="28" t="s">
        <v>54</v>
      </c>
      <c r="H289" s="28" t="n">
        <v>52.9482</v>
      </c>
      <c r="I289" s="28" t="n">
        <v>43</v>
      </c>
      <c r="J289" s="28" t="n">
        <v>19</v>
      </c>
      <c r="K289" s="28" t="n">
        <v>995</v>
      </c>
      <c r="L289" s="28" t="n">
        <v>4126</v>
      </c>
      <c r="M289" s="28" t="n">
        <v>33562</v>
      </c>
    </row>
    <row r="290" customFormat="false" ht="12.8" hidden="false" customHeight="false" outlineLevel="0" collapsed="false">
      <c r="A290" s="5" t="s">
        <v>88</v>
      </c>
      <c r="B290" s="5" t="n">
        <v>20</v>
      </c>
      <c r="C290" s="5" t="n">
        <v>3600</v>
      </c>
      <c r="D290" s="5" t="n">
        <v>125</v>
      </c>
      <c r="E290" s="5" t="n">
        <v>736</v>
      </c>
      <c r="F290" s="28" t="n">
        <v>3600</v>
      </c>
      <c r="G290" s="28" t="s">
        <v>54</v>
      </c>
      <c r="H290" s="28" t="n">
        <v>121.699</v>
      </c>
      <c r="I290" s="28" t="n">
        <v>38</v>
      </c>
      <c r="J290" s="28" t="n">
        <v>88</v>
      </c>
      <c r="K290" s="28" t="n">
        <v>2221</v>
      </c>
      <c r="L290" s="28" t="n">
        <v>13162</v>
      </c>
      <c r="M290" s="28" t="n">
        <v>27</v>
      </c>
    </row>
    <row r="291" customFormat="false" ht="12.8" hidden="false" customHeight="false" outlineLevel="0" collapsed="false">
      <c r="A291" s="5" t="s">
        <v>92</v>
      </c>
      <c r="B291" s="5" t="n">
        <v>20</v>
      </c>
      <c r="C291" s="5" t="n">
        <v>3600</v>
      </c>
      <c r="D291" s="5" t="n">
        <v>72</v>
      </c>
      <c r="E291" s="5" t="n">
        <v>170</v>
      </c>
      <c r="F291" s="28" t="n">
        <v>3600</v>
      </c>
      <c r="G291" s="28" t="s">
        <v>54</v>
      </c>
      <c r="H291" s="28" t="n">
        <v>67.158</v>
      </c>
      <c r="I291" s="28" t="n">
        <v>35</v>
      </c>
      <c r="J291" s="28" t="n">
        <v>37</v>
      </c>
      <c r="K291" s="28" t="n">
        <v>944</v>
      </c>
      <c r="L291" s="28" t="n">
        <v>3914</v>
      </c>
      <c r="M291" s="28" t="n">
        <v>10032</v>
      </c>
    </row>
    <row r="292" customFormat="false" ht="12.8" hidden="false" customHeight="false" outlineLevel="0" collapsed="false">
      <c r="A292" s="5" t="s">
        <v>94</v>
      </c>
      <c r="B292" s="5" t="n">
        <v>20</v>
      </c>
      <c r="C292" s="5" t="n">
        <v>3600</v>
      </c>
      <c r="D292" s="5" t="n">
        <v>115</v>
      </c>
      <c r="E292" s="5" t="n">
        <v>613</v>
      </c>
      <c r="F292" s="28" t="n">
        <v>3600</v>
      </c>
      <c r="G292" s="28" t="s">
        <v>54</v>
      </c>
      <c r="H292" s="28" t="n">
        <v>110.331</v>
      </c>
      <c r="I292" s="28" t="n">
        <v>40</v>
      </c>
      <c r="J292" s="28" t="n">
        <v>75</v>
      </c>
      <c r="K292" s="28" t="n">
        <v>1936</v>
      </c>
      <c r="L292" s="28" t="n">
        <v>10474</v>
      </c>
      <c r="M292" s="28" t="n">
        <v>14</v>
      </c>
    </row>
    <row r="293" customFormat="false" ht="12.8" hidden="false" customHeight="false" outlineLevel="0" collapsed="false">
      <c r="A293" s="5" t="s">
        <v>95</v>
      </c>
      <c r="B293" s="5" t="n">
        <v>20</v>
      </c>
      <c r="C293" s="5" t="n">
        <v>3600</v>
      </c>
      <c r="D293" s="5" t="n">
        <v>120</v>
      </c>
      <c r="E293" s="5" t="n">
        <v>638</v>
      </c>
      <c r="F293" s="28" t="n">
        <v>3600</v>
      </c>
      <c r="G293" s="28" t="s">
        <v>54</v>
      </c>
      <c r="H293" s="28" t="n">
        <v>116.101</v>
      </c>
      <c r="I293" s="28" t="n">
        <v>36</v>
      </c>
      <c r="J293" s="28" t="n">
        <v>85</v>
      </c>
      <c r="K293" s="28" t="n">
        <v>2114</v>
      </c>
      <c r="L293" s="28" t="n">
        <v>11429</v>
      </c>
      <c r="M293" s="28" t="n">
        <v>34</v>
      </c>
    </row>
    <row r="294" customFormat="false" ht="12.8" hidden="false" customHeight="false" outlineLevel="0" collapsed="false">
      <c r="A294" s="5" t="s">
        <v>96</v>
      </c>
      <c r="B294" s="5" t="n">
        <v>20</v>
      </c>
      <c r="C294" s="5" t="n">
        <v>3600</v>
      </c>
      <c r="D294" s="5" t="n">
        <v>115</v>
      </c>
      <c r="E294" s="5" t="n">
        <v>576</v>
      </c>
      <c r="F294" s="28" t="n">
        <v>3600.03</v>
      </c>
      <c r="G294" s="28" t="s">
        <v>54</v>
      </c>
      <c r="H294" s="28" t="n">
        <v>107.844</v>
      </c>
      <c r="I294" s="28" t="n">
        <v>53</v>
      </c>
      <c r="J294" s="28" t="n">
        <v>62</v>
      </c>
      <c r="K294" s="28" t="n">
        <v>1939</v>
      </c>
      <c r="L294" s="28" t="n">
        <v>10280</v>
      </c>
      <c r="M294" s="28" t="n">
        <v>581</v>
      </c>
    </row>
    <row r="295" customFormat="false" ht="12.8" hidden="false" customHeight="false" outlineLevel="0" collapsed="false">
      <c r="A295" s="5" t="s">
        <v>97</v>
      </c>
      <c r="B295" s="5" t="n">
        <v>20</v>
      </c>
      <c r="C295" s="5" t="n">
        <v>3600</v>
      </c>
      <c r="D295" s="5" t="n">
        <v>74</v>
      </c>
      <c r="E295" s="5" t="n">
        <v>301</v>
      </c>
      <c r="F295" s="28" t="n">
        <v>3600</v>
      </c>
      <c r="G295" s="28" t="s">
        <v>54</v>
      </c>
      <c r="H295" s="28" t="n">
        <v>67.6531</v>
      </c>
      <c r="I295" s="28" t="n">
        <v>65</v>
      </c>
      <c r="J295" s="28" t="n">
        <v>9</v>
      </c>
      <c r="K295" s="28" t="n">
        <v>1268</v>
      </c>
      <c r="L295" s="28" t="n">
        <v>5205</v>
      </c>
      <c r="M295" s="28" t="n">
        <v>15098</v>
      </c>
    </row>
    <row r="296" customFormat="false" ht="12.8" hidden="false" customHeight="false" outlineLevel="0" collapsed="false">
      <c r="A296" s="5" t="s">
        <v>99</v>
      </c>
      <c r="B296" s="5" t="n">
        <v>20</v>
      </c>
      <c r="C296" s="5" t="n">
        <v>3600</v>
      </c>
      <c r="D296" s="5" t="n">
        <v>59</v>
      </c>
      <c r="E296" s="5" t="n">
        <v>329</v>
      </c>
      <c r="F296" s="28" t="n">
        <v>207.711</v>
      </c>
      <c r="G296" s="28" t="s">
        <v>51</v>
      </c>
      <c r="H296" s="28" t="n">
        <v>21</v>
      </c>
      <c r="I296" s="28" t="n">
        <v>21</v>
      </c>
      <c r="J296" s="28" t="n">
        <v>38</v>
      </c>
      <c r="K296" s="28" t="n">
        <v>598</v>
      </c>
      <c r="L296" s="28" t="n">
        <v>2076</v>
      </c>
      <c r="M296" s="28" t="n">
        <v>869</v>
      </c>
    </row>
    <row r="297" customFormat="false" ht="12.8" hidden="false" customHeight="false" outlineLevel="0" collapsed="false">
      <c r="A297" s="5" t="s">
        <v>100</v>
      </c>
      <c r="B297" s="5" t="n">
        <v>20</v>
      </c>
      <c r="C297" s="5" t="n">
        <v>3600</v>
      </c>
      <c r="D297" s="5" t="n">
        <v>198</v>
      </c>
      <c r="E297" s="5" t="n">
        <v>2742</v>
      </c>
      <c r="F297" s="28" t="n">
        <v>3600.01</v>
      </c>
      <c r="G297" s="28" t="s">
        <v>54</v>
      </c>
      <c r="H297" s="28" t="n">
        <v>196.93</v>
      </c>
      <c r="I297" s="28" t="n">
        <v>110</v>
      </c>
      <c r="J297" s="28" t="n">
        <v>88</v>
      </c>
      <c r="K297" s="28" t="n">
        <v>3748</v>
      </c>
      <c r="L297" s="28" t="n">
        <v>51647</v>
      </c>
      <c r="M297" s="28" t="n">
        <v>1</v>
      </c>
    </row>
    <row r="298" customFormat="false" ht="12.8" hidden="false" customHeight="false" outlineLevel="0" collapsed="false">
      <c r="A298" s="5" t="s">
        <v>101</v>
      </c>
      <c r="B298" s="5" t="n">
        <v>20</v>
      </c>
      <c r="C298" s="5" t="n">
        <v>3600</v>
      </c>
      <c r="D298" s="5" t="n">
        <v>80</v>
      </c>
      <c r="E298" s="5" t="n">
        <v>254</v>
      </c>
      <c r="F298" s="28" t="n">
        <v>769.501</v>
      </c>
      <c r="G298" s="28" t="s">
        <v>51</v>
      </c>
      <c r="H298" s="28" t="n">
        <v>76</v>
      </c>
      <c r="I298" s="28" t="n">
        <v>76</v>
      </c>
      <c r="J298" s="28" t="n">
        <v>4</v>
      </c>
      <c r="K298" s="28" t="n">
        <v>1410</v>
      </c>
      <c r="L298" s="28" t="n">
        <v>4113</v>
      </c>
      <c r="M298" s="28" t="n">
        <v>465</v>
      </c>
    </row>
    <row r="299" customFormat="false" ht="12.8" hidden="false" customHeight="false" outlineLevel="0" collapsed="false">
      <c r="A299" s="5" t="s">
        <v>102</v>
      </c>
      <c r="B299" s="5" t="n">
        <v>20</v>
      </c>
      <c r="C299" s="5" t="n">
        <v>3600</v>
      </c>
      <c r="D299" s="5" t="n">
        <v>34</v>
      </c>
      <c r="E299" s="5" t="n">
        <v>78</v>
      </c>
      <c r="F299" s="28" t="n">
        <v>40.1914</v>
      </c>
      <c r="G299" s="28" t="s">
        <v>51</v>
      </c>
      <c r="H299" s="28" t="n">
        <v>23</v>
      </c>
      <c r="I299" s="28" t="n">
        <v>23</v>
      </c>
      <c r="J299" s="28" t="n">
        <v>11</v>
      </c>
      <c r="K299" s="28" t="n">
        <v>358</v>
      </c>
      <c r="L299" s="28" t="n">
        <v>646</v>
      </c>
      <c r="M299" s="28" t="n">
        <v>7</v>
      </c>
    </row>
    <row r="300" customFormat="false" ht="12.8" hidden="false" customHeight="false" outlineLevel="0" collapsed="false">
      <c r="A300" s="5" t="s">
        <v>103</v>
      </c>
      <c r="B300" s="5" t="n">
        <v>20</v>
      </c>
      <c r="C300" s="5" t="n">
        <v>3600</v>
      </c>
      <c r="D300" s="5" t="n">
        <v>100</v>
      </c>
      <c r="E300" s="5" t="n">
        <v>1844</v>
      </c>
      <c r="F300" s="28" t="n">
        <v>3600</v>
      </c>
      <c r="G300" s="28" t="s">
        <v>54</v>
      </c>
      <c r="H300" s="28" t="n">
        <v>96.4386</v>
      </c>
      <c r="I300" s="28" t="n">
        <v>57</v>
      </c>
      <c r="J300" s="28" t="n">
        <v>43</v>
      </c>
      <c r="K300" s="28" t="n">
        <v>1739</v>
      </c>
      <c r="L300" s="28" t="n">
        <v>31238</v>
      </c>
      <c r="M300" s="28" t="n">
        <v>3</v>
      </c>
    </row>
    <row r="301" customFormat="false" ht="12.8" hidden="false" customHeight="false" outlineLevel="0" collapsed="false">
      <c r="A301" s="5" t="s">
        <v>111</v>
      </c>
      <c r="B301" s="5" t="n">
        <v>20</v>
      </c>
      <c r="C301" s="5" t="n">
        <v>3600</v>
      </c>
      <c r="D301" s="5" t="n">
        <v>120</v>
      </c>
      <c r="E301" s="5" t="n">
        <v>2972</v>
      </c>
      <c r="F301" s="28" t="n">
        <v>3600</v>
      </c>
      <c r="G301" s="28" t="s">
        <v>54</v>
      </c>
      <c r="H301" s="28" t="n">
        <v>114.289</v>
      </c>
      <c r="I301" s="28" t="n">
        <v>62</v>
      </c>
      <c r="J301" s="28" t="n">
        <v>58</v>
      </c>
      <c r="K301" s="28" t="n">
        <v>1858</v>
      </c>
      <c r="L301" s="28" t="n">
        <v>40047</v>
      </c>
      <c r="M301" s="28" t="n">
        <v>1</v>
      </c>
    </row>
    <row r="302" customFormat="false" ht="12.8" hidden="false" customHeight="false" outlineLevel="0" collapsed="false">
      <c r="A302" s="5" t="s">
        <v>116</v>
      </c>
      <c r="B302" s="5" t="n">
        <v>20</v>
      </c>
      <c r="C302" s="5" t="n">
        <v>3600</v>
      </c>
      <c r="D302" s="5" t="n">
        <v>120</v>
      </c>
      <c r="E302" s="5" t="n">
        <v>3387</v>
      </c>
      <c r="F302" s="28" t="n">
        <v>3600</v>
      </c>
      <c r="G302" s="28" t="s">
        <v>54</v>
      </c>
      <c r="H302" s="28" t="n">
        <v>107.933</v>
      </c>
      <c r="I302" s="28" t="n">
        <v>75</v>
      </c>
      <c r="J302" s="28" t="n">
        <v>45</v>
      </c>
      <c r="K302" s="28" t="n">
        <v>1402</v>
      </c>
      <c r="L302" s="28" t="n">
        <v>33304</v>
      </c>
      <c r="M302" s="28" t="n">
        <v>792</v>
      </c>
    </row>
    <row r="303" customFormat="false" ht="12.8" hidden="false" customHeight="false" outlineLevel="0" collapsed="false">
      <c r="A303" s="5" t="s">
        <v>117</v>
      </c>
      <c r="B303" s="5" t="n">
        <v>20</v>
      </c>
      <c r="C303" s="5" t="n">
        <v>3600</v>
      </c>
      <c r="D303" s="5" t="n">
        <v>125</v>
      </c>
      <c r="E303" s="5" t="n">
        <v>390</v>
      </c>
      <c r="F303" s="28" t="n">
        <v>3600</v>
      </c>
      <c r="G303" s="28" t="s">
        <v>54</v>
      </c>
      <c r="H303" s="28" t="n">
        <v>122.413</v>
      </c>
      <c r="I303" s="28" t="n">
        <v>68</v>
      </c>
      <c r="J303" s="28" t="n">
        <v>57</v>
      </c>
      <c r="K303" s="28" t="n">
        <v>2310</v>
      </c>
      <c r="L303" s="28" t="n">
        <v>7928</v>
      </c>
      <c r="M303" s="28" t="n">
        <v>309</v>
      </c>
    </row>
    <row r="304" customFormat="false" ht="12.8" hidden="false" customHeight="false" outlineLevel="0" collapsed="false">
      <c r="A304" s="5" t="s">
        <v>120</v>
      </c>
      <c r="B304" s="5" t="n">
        <v>20</v>
      </c>
      <c r="C304" s="5" t="n">
        <v>3600</v>
      </c>
      <c r="D304" s="5" t="n">
        <v>125</v>
      </c>
      <c r="E304" s="5" t="n">
        <v>1022</v>
      </c>
      <c r="F304" s="28" t="n">
        <v>3600</v>
      </c>
      <c r="G304" s="28" t="s">
        <v>54</v>
      </c>
      <c r="H304" s="28" t="n">
        <v>117.111</v>
      </c>
      <c r="I304" s="28" t="s">
        <v>175</v>
      </c>
      <c r="J304" s="28" t="s">
        <v>175</v>
      </c>
      <c r="K304" s="28" t="n">
        <v>1938</v>
      </c>
      <c r="L304" s="28" t="n">
        <v>16198</v>
      </c>
      <c r="M304" s="28" t="n">
        <v>111</v>
      </c>
    </row>
    <row r="305" customFormat="false" ht="12.8" hidden="false" customHeight="false" outlineLevel="0" collapsed="false">
      <c r="A305" s="5" t="s">
        <v>126</v>
      </c>
      <c r="B305" s="5" t="n">
        <v>20</v>
      </c>
      <c r="C305" s="5" t="n">
        <v>3600</v>
      </c>
      <c r="D305" s="5" t="n">
        <v>125</v>
      </c>
      <c r="E305" s="5" t="n">
        <v>444</v>
      </c>
      <c r="F305" s="28" t="n">
        <v>3600</v>
      </c>
      <c r="G305" s="28" t="s">
        <v>54</v>
      </c>
      <c r="H305" s="28" t="n">
        <v>122.741</v>
      </c>
      <c r="I305" s="28" t="n">
        <v>93</v>
      </c>
      <c r="J305" s="28" t="n">
        <v>32</v>
      </c>
      <c r="K305" s="28" t="n">
        <v>2296</v>
      </c>
      <c r="L305" s="28" t="n">
        <v>10015</v>
      </c>
      <c r="M305" s="28" t="n">
        <v>1216</v>
      </c>
    </row>
    <row r="306" customFormat="false" ht="12.8" hidden="false" customHeight="false" outlineLevel="0" collapsed="false">
      <c r="A306" s="5" t="s">
        <v>127</v>
      </c>
      <c r="B306" s="5" t="n">
        <v>20</v>
      </c>
      <c r="C306" s="5" t="n">
        <v>3600</v>
      </c>
      <c r="D306" s="5" t="n">
        <v>125</v>
      </c>
      <c r="E306" s="5" t="n">
        <v>386</v>
      </c>
      <c r="F306" s="28" t="n">
        <v>3600</v>
      </c>
      <c r="G306" s="28" t="s">
        <v>54</v>
      </c>
      <c r="H306" s="28" t="n">
        <v>121.269</v>
      </c>
      <c r="I306" s="28" t="n">
        <v>94</v>
      </c>
      <c r="J306" s="28" t="n">
        <v>31</v>
      </c>
      <c r="K306" s="28" t="n">
        <v>2310</v>
      </c>
      <c r="L306" s="28" t="n">
        <v>9041</v>
      </c>
      <c r="M306" s="28" t="n">
        <v>977</v>
      </c>
    </row>
    <row r="307" customFormat="false" ht="12.8" hidden="false" customHeight="false" outlineLevel="0" collapsed="false">
      <c r="A307" s="5" t="s">
        <v>128</v>
      </c>
      <c r="B307" s="5" t="n">
        <v>20</v>
      </c>
      <c r="C307" s="5" t="n">
        <v>3600</v>
      </c>
      <c r="D307" s="5" t="n">
        <v>80</v>
      </c>
      <c r="E307" s="5" t="n">
        <v>1201</v>
      </c>
      <c r="F307" s="28" t="n">
        <v>3600</v>
      </c>
      <c r="G307" s="28" t="s">
        <v>54</v>
      </c>
      <c r="H307" s="28" t="n">
        <v>72.0952</v>
      </c>
      <c r="I307" s="28" t="n">
        <v>49</v>
      </c>
      <c r="J307" s="28" t="n">
        <v>31</v>
      </c>
      <c r="K307" s="28" t="n">
        <v>1313</v>
      </c>
      <c r="L307" s="28" t="n">
        <v>20153</v>
      </c>
      <c r="M307" s="28" t="n">
        <v>661</v>
      </c>
    </row>
    <row r="308" customFormat="false" ht="12.8" hidden="false" customHeight="false" outlineLevel="0" collapsed="false">
      <c r="A308" s="5" t="s">
        <v>134</v>
      </c>
      <c r="B308" s="5" t="n">
        <v>20</v>
      </c>
      <c r="C308" s="5" t="n">
        <v>3600</v>
      </c>
      <c r="D308" s="5" t="n">
        <v>77</v>
      </c>
      <c r="E308" s="5" t="n">
        <v>254</v>
      </c>
      <c r="F308" s="28" t="n">
        <v>3600</v>
      </c>
      <c r="G308" s="28" t="s">
        <v>54</v>
      </c>
      <c r="H308" s="28" t="n">
        <v>74.6827</v>
      </c>
      <c r="I308" s="28" t="n">
        <v>72</v>
      </c>
      <c r="J308" s="28" t="n">
        <v>5</v>
      </c>
      <c r="K308" s="28" t="n">
        <v>1303</v>
      </c>
      <c r="L308" s="28" t="n">
        <v>4707</v>
      </c>
      <c r="M308" s="28" t="n">
        <v>3605</v>
      </c>
    </row>
    <row r="309" customFormat="false" ht="12.8" hidden="false" customHeight="false" outlineLevel="0" collapsed="false">
      <c r="A309" s="5" t="s">
        <v>138</v>
      </c>
      <c r="B309" s="5" t="n">
        <v>20</v>
      </c>
      <c r="C309" s="5" t="n">
        <v>3600</v>
      </c>
      <c r="D309" s="5" t="n">
        <v>128</v>
      </c>
      <c r="E309" s="5" t="n">
        <v>387</v>
      </c>
      <c r="F309" s="28" t="n">
        <v>3600</v>
      </c>
      <c r="G309" s="28" t="s">
        <v>54</v>
      </c>
      <c r="H309" s="28" t="n">
        <v>127.391</v>
      </c>
      <c r="I309" s="28" t="n">
        <v>112</v>
      </c>
      <c r="J309" s="28" t="n">
        <v>16</v>
      </c>
      <c r="K309" s="28" t="n">
        <v>2354</v>
      </c>
      <c r="L309" s="28" t="n">
        <v>7712</v>
      </c>
      <c r="M309" s="28" t="n">
        <v>81</v>
      </c>
    </row>
    <row r="310" customFormat="false" ht="12.8" hidden="false" customHeight="false" outlineLevel="0" collapsed="false">
      <c r="A310" s="5" t="s">
        <v>141</v>
      </c>
      <c r="B310" s="5" t="n">
        <v>20</v>
      </c>
      <c r="C310" s="5" t="n">
        <v>3600</v>
      </c>
      <c r="D310" s="5" t="n">
        <v>100</v>
      </c>
      <c r="E310" s="5" t="n">
        <v>166</v>
      </c>
      <c r="F310" s="28" t="n">
        <v>3600</v>
      </c>
      <c r="G310" s="28" t="s">
        <v>54</v>
      </c>
      <c r="H310" s="28" t="n">
        <v>98.6191</v>
      </c>
      <c r="I310" s="28" t="n">
        <v>73</v>
      </c>
      <c r="J310" s="28" t="n">
        <v>27</v>
      </c>
      <c r="K310" s="28" t="n">
        <v>1810</v>
      </c>
      <c r="L310" s="28" t="n">
        <v>3675</v>
      </c>
      <c r="M310" s="28" t="n">
        <v>4145</v>
      </c>
    </row>
    <row r="311" customFormat="false" ht="12.8" hidden="false" customHeight="false" outlineLevel="0" collapsed="false">
      <c r="A311" s="5" t="s">
        <v>142</v>
      </c>
      <c r="B311" s="5" t="n">
        <v>20</v>
      </c>
      <c r="C311" s="5" t="n">
        <v>3600</v>
      </c>
      <c r="D311" s="5" t="n">
        <v>100</v>
      </c>
      <c r="E311" s="5" t="n">
        <v>166</v>
      </c>
      <c r="F311" s="28" t="n">
        <v>3600</v>
      </c>
      <c r="G311" s="28" t="s">
        <v>54</v>
      </c>
      <c r="H311" s="28" t="n">
        <v>98.181</v>
      </c>
      <c r="I311" s="28" t="n">
        <v>69</v>
      </c>
      <c r="J311" s="28" t="n">
        <v>31</v>
      </c>
      <c r="K311" s="28" t="n">
        <v>1717</v>
      </c>
      <c r="L311" s="28" t="n">
        <v>4181</v>
      </c>
      <c r="M311" s="28" t="n">
        <v>1011</v>
      </c>
    </row>
    <row r="312" customFormat="false" ht="12.8" hidden="false" customHeight="false" outlineLevel="0" collapsed="false">
      <c r="A312" s="5" t="s">
        <v>143</v>
      </c>
      <c r="B312" s="5" t="n">
        <v>20</v>
      </c>
      <c r="C312" s="5" t="n">
        <v>3600</v>
      </c>
      <c r="D312" s="5" t="n">
        <v>88</v>
      </c>
      <c r="E312" s="5" t="n">
        <v>146</v>
      </c>
      <c r="F312" s="28" t="n">
        <v>3600</v>
      </c>
      <c r="G312" s="28" t="s">
        <v>54</v>
      </c>
      <c r="H312" s="28" t="n">
        <v>85.0622</v>
      </c>
      <c r="I312" s="28" t="n">
        <v>62</v>
      </c>
      <c r="J312" s="28" t="n">
        <v>26</v>
      </c>
      <c r="K312" s="28" t="n">
        <v>1431</v>
      </c>
      <c r="L312" s="28" t="n">
        <v>3574</v>
      </c>
      <c r="M312" s="28" t="n">
        <v>3701</v>
      </c>
    </row>
    <row r="313" customFormat="false" ht="12.8" hidden="false" customHeight="false" outlineLevel="0" collapsed="false">
      <c r="A313" s="5" t="s">
        <v>144</v>
      </c>
      <c r="B313" s="5" t="n">
        <v>20</v>
      </c>
      <c r="C313" s="5" t="n">
        <v>3600</v>
      </c>
      <c r="D313" s="5" t="n">
        <v>88</v>
      </c>
      <c r="E313" s="5" t="n">
        <v>146</v>
      </c>
      <c r="F313" s="28" t="n">
        <v>3600</v>
      </c>
      <c r="G313" s="28" t="s">
        <v>54</v>
      </c>
      <c r="H313" s="28" t="n">
        <v>85.3177</v>
      </c>
      <c r="I313" s="28" t="n">
        <v>62</v>
      </c>
      <c r="J313" s="28" t="n">
        <v>26</v>
      </c>
      <c r="K313" s="28" t="n">
        <v>1428</v>
      </c>
      <c r="L313" s="28" t="n">
        <v>3384</v>
      </c>
      <c r="M313" s="28" t="n">
        <v>5702</v>
      </c>
    </row>
    <row r="314" customFormat="false" ht="12.8" hidden="false" customHeight="false" outlineLevel="0" collapsed="false">
      <c r="A314" s="5" t="s">
        <v>145</v>
      </c>
      <c r="B314" s="5" t="n">
        <v>20</v>
      </c>
      <c r="C314" s="5" t="n">
        <v>3600</v>
      </c>
      <c r="D314" s="5" t="n">
        <v>188</v>
      </c>
      <c r="E314" s="5" t="n">
        <v>3885</v>
      </c>
      <c r="F314" s="28" t="n">
        <v>3600</v>
      </c>
      <c r="G314" s="28" t="s">
        <v>54</v>
      </c>
      <c r="H314" s="28" t="n">
        <v>186.404</v>
      </c>
      <c r="I314" s="28" t="n">
        <v>159</v>
      </c>
      <c r="J314" s="28" t="n">
        <v>29</v>
      </c>
      <c r="K314" s="28" t="n">
        <v>3760</v>
      </c>
      <c r="L314" s="28" t="n">
        <v>78275</v>
      </c>
      <c r="M314" s="28" t="n">
        <v>73</v>
      </c>
    </row>
    <row r="315" customFormat="false" ht="12.8" hidden="false" customHeight="false" outlineLevel="0" collapsed="false">
      <c r="A315" s="5" t="s">
        <v>146</v>
      </c>
      <c r="B315" s="5" t="n">
        <v>20</v>
      </c>
      <c r="C315" s="5" t="n">
        <v>3600</v>
      </c>
      <c r="D315" s="5" t="n">
        <v>184</v>
      </c>
      <c r="E315" s="5" t="n">
        <v>3916</v>
      </c>
      <c r="F315" s="28" t="n">
        <v>3600.01</v>
      </c>
      <c r="G315" s="28" t="s">
        <v>54</v>
      </c>
      <c r="H315" s="28" t="n">
        <v>184</v>
      </c>
      <c r="I315" s="28" t="n">
        <v>165</v>
      </c>
      <c r="J315" s="28" t="n">
        <v>20</v>
      </c>
      <c r="K315" s="28" t="n">
        <v>3680</v>
      </c>
      <c r="L315" s="28" t="n">
        <v>78610</v>
      </c>
      <c r="M315" s="28" t="n">
        <v>3</v>
      </c>
    </row>
    <row r="316" customFormat="false" ht="12.8" hidden="false" customHeight="false" outlineLevel="0" collapsed="false">
      <c r="A316" s="5" t="s">
        <v>147</v>
      </c>
      <c r="B316" s="5" t="n">
        <v>20</v>
      </c>
      <c r="C316" s="5" t="n">
        <v>3600</v>
      </c>
      <c r="D316" s="5" t="n">
        <v>185</v>
      </c>
      <c r="E316" s="5" t="n">
        <v>3946</v>
      </c>
      <c r="F316" s="28" t="n">
        <v>3600.01</v>
      </c>
      <c r="G316" s="28" t="s">
        <v>54</v>
      </c>
      <c r="H316" s="28" t="n">
        <v>185</v>
      </c>
      <c r="I316" s="28" t="n">
        <v>166</v>
      </c>
      <c r="J316" s="28" t="n">
        <v>19</v>
      </c>
      <c r="K316" s="28" t="n">
        <v>3700</v>
      </c>
      <c r="L316" s="28" t="n">
        <v>79198</v>
      </c>
      <c r="M316" s="28" t="n">
        <v>6</v>
      </c>
    </row>
    <row r="317" customFormat="false" ht="12.8" hidden="false" customHeight="false" outlineLevel="0" collapsed="false">
      <c r="A317" s="5" t="s">
        <v>148</v>
      </c>
      <c r="B317" s="5" t="n">
        <v>20</v>
      </c>
      <c r="C317" s="5" t="n">
        <v>3600</v>
      </c>
      <c r="D317" s="5" t="n">
        <v>186</v>
      </c>
      <c r="E317" s="5" t="n">
        <v>3973</v>
      </c>
      <c r="F317" s="28" t="n">
        <v>3600.01</v>
      </c>
      <c r="G317" s="28" t="s">
        <v>54</v>
      </c>
      <c r="H317" s="28" t="n">
        <v>186</v>
      </c>
      <c r="I317" s="28" t="s">
        <v>175</v>
      </c>
      <c r="J317" s="28" t="s">
        <v>175</v>
      </c>
      <c r="K317" s="28" t="n">
        <v>3720</v>
      </c>
      <c r="L317" s="28" t="n">
        <v>79725</v>
      </c>
      <c r="M317" s="28" t="n">
        <v>4</v>
      </c>
    </row>
    <row r="318" customFormat="false" ht="12.8" hidden="false" customHeight="false" outlineLevel="0" collapsed="false">
      <c r="A318" s="5" t="s">
        <v>151</v>
      </c>
      <c r="B318" s="5" t="n">
        <v>20</v>
      </c>
      <c r="C318" s="5" t="n">
        <v>3600</v>
      </c>
      <c r="D318" s="5" t="n">
        <v>47</v>
      </c>
      <c r="E318" s="5" t="n">
        <v>236</v>
      </c>
      <c r="F318" s="28" t="n">
        <v>113.625</v>
      </c>
      <c r="G318" s="28" t="s">
        <v>51</v>
      </c>
      <c r="H318" s="28" t="n">
        <v>24</v>
      </c>
      <c r="I318" s="28" t="n">
        <v>24</v>
      </c>
      <c r="J318" s="28" t="n">
        <v>23</v>
      </c>
      <c r="K318" s="28" t="n">
        <v>522</v>
      </c>
      <c r="L318" s="28" t="n">
        <v>1844</v>
      </c>
      <c r="M318" s="28" t="n">
        <v>2842</v>
      </c>
    </row>
    <row r="319" customFormat="false" ht="12.8" hidden="false" customHeight="false" outlineLevel="0" collapsed="false">
      <c r="A319" s="5" t="s">
        <v>152</v>
      </c>
      <c r="B319" s="5" t="n">
        <v>20</v>
      </c>
      <c r="C319" s="5" t="n">
        <v>3600</v>
      </c>
      <c r="D319" s="5" t="n">
        <v>95</v>
      </c>
      <c r="E319" s="5" t="n">
        <v>755</v>
      </c>
      <c r="F319" s="28" t="n">
        <v>3600</v>
      </c>
      <c r="G319" s="28" t="s">
        <v>54</v>
      </c>
      <c r="H319" s="28" t="n">
        <v>81.2575</v>
      </c>
      <c r="I319" s="28" t="n">
        <v>71</v>
      </c>
      <c r="J319" s="28" t="n">
        <v>24</v>
      </c>
      <c r="K319" s="28" t="n">
        <v>1526</v>
      </c>
      <c r="L319" s="28" t="n">
        <v>8165</v>
      </c>
      <c r="M319" s="28" t="n">
        <v>1734</v>
      </c>
    </row>
    <row r="320" customFormat="false" ht="12.8" hidden="false" customHeight="false" outlineLevel="0" collapsed="false">
      <c r="A320" s="5" t="s">
        <v>153</v>
      </c>
      <c r="B320" s="5" t="n">
        <v>20</v>
      </c>
      <c r="C320" s="5" t="n">
        <v>3600</v>
      </c>
      <c r="D320" s="5" t="n">
        <v>191</v>
      </c>
      <c r="E320" s="5" t="n">
        <v>2360</v>
      </c>
      <c r="F320" s="28" t="n">
        <v>3600.01</v>
      </c>
      <c r="G320" s="28" t="s">
        <v>54</v>
      </c>
      <c r="H320" s="28" t="n">
        <v>188.125</v>
      </c>
      <c r="I320" s="28" t="n">
        <v>148</v>
      </c>
      <c r="J320" s="28" t="n">
        <v>43</v>
      </c>
      <c r="K320" s="28" t="n">
        <v>3458</v>
      </c>
      <c r="L320" s="28" t="n">
        <v>33619</v>
      </c>
      <c r="M320" s="28" t="n">
        <v>1</v>
      </c>
    </row>
    <row r="321" customFormat="false" ht="12.8" hidden="false" customHeight="false" outlineLevel="0" collapsed="false">
      <c r="A321" s="5" t="s">
        <v>154</v>
      </c>
      <c r="B321" s="5" t="n">
        <v>20</v>
      </c>
      <c r="C321" s="5" t="n">
        <v>3600</v>
      </c>
      <c r="D321" s="5" t="n">
        <v>105</v>
      </c>
      <c r="E321" s="5" t="n">
        <v>441</v>
      </c>
      <c r="F321" s="28" t="n">
        <v>3600</v>
      </c>
      <c r="G321" s="28" t="s">
        <v>54</v>
      </c>
      <c r="H321" s="28" t="n">
        <v>99.0641</v>
      </c>
      <c r="I321" s="28" t="n">
        <v>78</v>
      </c>
      <c r="J321" s="28" t="n">
        <v>27</v>
      </c>
      <c r="K321" s="28" t="n">
        <v>1704</v>
      </c>
      <c r="L321" s="28" t="n">
        <v>8765</v>
      </c>
      <c r="M321" s="28" t="n">
        <v>1071</v>
      </c>
    </row>
    <row r="322" customFormat="false" ht="12.8" hidden="false" customHeight="false" outlineLevel="0" collapsed="false">
      <c r="A322" s="5" t="s">
        <v>167</v>
      </c>
      <c r="B322" s="5" t="n">
        <v>20</v>
      </c>
      <c r="C322" s="5" t="n">
        <v>3600</v>
      </c>
      <c r="D322" s="5" t="n">
        <v>125</v>
      </c>
      <c r="E322" s="5" t="n">
        <v>209</v>
      </c>
      <c r="F322" s="28" t="n">
        <v>3600</v>
      </c>
      <c r="G322" s="28" t="s">
        <v>54</v>
      </c>
      <c r="H322" s="28" t="n">
        <v>125</v>
      </c>
      <c r="I322" s="28" t="n">
        <v>118</v>
      </c>
      <c r="J322" s="28" t="n">
        <v>7</v>
      </c>
      <c r="K322" s="28" t="n">
        <v>2300</v>
      </c>
      <c r="L322" s="28" t="n">
        <v>4027</v>
      </c>
      <c r="M322" s="28" t="n">
        <v>3399</v>
      </c>
    </row>
    <row r="323" customFormat="false" ht="12.8" hidden="false" customHeight="false" outlineLevel="0" collapsed="false">
      <c r="A323" s="5" t="s">
        <v>170</v>
      </c>
      <c r="B323" s="5" t="n">
        <v>20</v>
      </c>
      <c r="C323" s="5" t="n">
        <v>3600</v>
      </c>
      <c r="D323" s="5" t="n">
        <v>136</v>
      </c>
      <c r="E323" s="5" t="n">
        <v>641</v>
      </c>
      <c r="F323" s="28" t="n">
        <v>3600.01</v>
      </c>
      <c r="G323" s="28" t="s">
        <v>54</v>
      </c>
      <c r="H323" s="28" t="n">
        <v>134.221</v>
      </c>
      <c r="I323" s="28" t="n">
        <v>55</v>
      </c>
      <c r="J323" s="28" t="n">
        <v>82</v>
      </c>
      <c r="K323" s="28" t="n">
        <v>2530</v>
      </c>
      <c r="L323" s="28" t="n">
        <v>12259</v>
      </c>
      <c r="M323" s="28" t="n">
        <v>11</v>
      </c>
    </row>
    <row r="324" customFormat="false" ht="12.8" hidden="false" customHeight="false" outlineLevel="0" collapsed="false">
      <c r="A324" s="5" t="s">
        <v>173</v>
      </c>
      <c r="B324" s="5" t="n">
        <v>20</v>
      </c>
      <c r="C324" s="5" t="n">
        <v>3600</v>
      </c>
      <c r="D324" s="5" t="n">
        <v>132</v>
      </c>
      <c r="E324" s="5" t="n">
        <v>560</v>
      </c>
      <c r="F324" s="28" t="n">
        <v>3600</v>
      </c>
      <c r="G324" s="28" t="s">
        <v>54</v>
      </c>
      <c r="H324" s="28" t="n">
        <v>129.867</v>
      </c>
      <c r="I324" s="28" t="n">
        <v>91</v>
      </c>
      <c r="J324" s="28" t="n">
        <v>42</v>
      </c>
      <c r="K324" s="28" t="n">
        <v>2313</v>
      </c>
      <c r="L324" s="28" t="n">
        <v>12109</v>
      </c>
      <c r="M324" s="28" t="n">
        <v>1327</v>
      </c>
    </row>
  </sheetData>
  <autoFilter ref="A1:M32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2025-10-01T09:39:46Z</dcterms:created>
  <dc:creator/>
  <dc:description/>
  <dc:language>en-US</dc:language>
  <cp:lastModifiedBy/>
  <dcterms:modified xsi:type="dcterms:W3CDTF">2025-10-05T14:56:51Z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